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Organização financeira\"/>
    </mc:Choice>
  </mc:AlternateContent>
  <xr:revisionPtr revIDLastSave="0" documentId="13_ncr:1_{F7D66DE9-BC03-4839-AFA1-81A0C78D4B41}" xr6:coauthVersionLast="47" xr6:coauthVersionMax="47" xr10:uidLastSave="{00000000-0000-0000-0000-000000000000}"/>
  <bookViews>
    <workbookView xWindow="-120" yWindow="-120" windowWidth="29040" windowHeight="15720" tabRatio="857" xr2:uid="{00000000-000D-0000-FFFF-FFFF00000000}"/>
  </bookViews>
  <sheets>
    <sheet name="Guia para usar" sheetId="105" r:id="rId1"/>
    <sheet name="Fluxo de Caixa" sheetId="10" r:id="rId2"/>
    <sheet name="Despesas" sheetId="17" r:id="rId3"/>
    <sheet name="Receitas" sheetId="12" r:id="rId4"/>
    <sheet name="Jan'26" sheetId="91" r:id="rId5"/>
    <sheet name="Fev'26" sheetId="93" r:id="rId6"/>
    <sheet name="Mar'26" sheetId="94" r:id="rId7"/>
    <sheet name="Abr'26" sheetId="95" r:id="rId8"/>
    <sheet name="Mai'26" sheetId="96" r:id="rId9"/>
    <sheet name="Jun'26" sheetId="97" r:id="rId10"/>
    <sheet name="Jul'26" sheetId="98" r:id="rId11"/>
    <sheet name="Ago'26" sheetId="99" r:id="rId12"/>
    <sheet name="Set'26" sheetId="100" r:id="rId13"/>
    <sheet name="Out'26" sheetId="101" r:id="rId14"/>
    <sheet name="Nov'26" sheetId="102" r:id="rId15"/>
    <sheet name="Dez'26" sheetId="103" r:id="rId16"/>
    <sheet name="Revisões" sheetId="3" r:id="rId17"/>
  </sheets>
  <definedNames>
    <definedName name="_xlnm._FilterDatabase" localSheetId="7" hidden="1">'Abr''26'!$A$2:$E$2</definedName>
    <definedName name="_xlnm._FilterDatabase" localSheetId="11" hidden="1">'Ago''26'!$A$2:$E$2</definedName>
    <definedName name="_xlnm._FilterDatabase" localSheetId="15" hidden="1">'Dez''26'!$A$2:$E$2</definedName>
    <definedName name="_xlnm._FilterDatabase" localSheetId="5" hidden="1">'Fev''26'!$A$2:$E$2</definedName>
    <definedName name="_xlnm._FilterDatabase" localSheetId="4" hidden="1">'Jan''26'!$A$2:$E$2</definedName>
    <definedName name="_xlnm._FilterDatabase" localSheetId="10" hidden="1">'Jul''26'!$A$2:$E$2</definedName>
    <definedName name="_xlnm._FilterDatabase" localSheetId="9" hidden="1">'Jun''26'!$A$2:$E$2</definedName>
    <definedName name="_xlnm._FilterDatabase" localSheetId="8" hidden="1">'Mai''26'!$A$2:$E$2</definedName>
    <definedName name="_xlnm._FilterDatabase" localSheetId="6" hidden="1">'Mar''26'!$A$2:$E$2</definedName>
    <definedName name="_xlnm._FilterDatabase" localSheetId="14" hidden="1">'Nov''26'!$A$2:$E$2</definedName>
    <definedName name="_xlnm._FilterDatabase" localSheetId="13" hidden="1">'Out''26'!$A$2:$E$2</definedName>
    <definedName name="_xlnm._FilterDatabase" localSheetId="12" hidden="1">'Set''26'!$A$2:$E$2</definedName>
    <definedName name="_Sem2" localSheetId="7">#REF!</definedName>
    <definedName name="_Sem2" localSheetId="11">#REF!</definedName>
    <definedName name="_Sem2" localSheetId="15">#REF!</definedName>
    <definedName name="_Sem2" localSheetId="5">#REF!</definedName>
    <definedName name="_Sem2" localSheetId="0">#REF!</definedName>
    <definedName name="_Sem2" localSheetId="4">#REF!</definedName>
    <definedName name="_Sem2" localSheetId="10">#REF!</definedName>
    <definedName name="_Sem2" localSheetId="9">#REF!</definedName>
    <definedName name="_Sem2" localSheetId="8">#REF!</definedName>
    <definedName name="_Sem2" localSheetId="6">#REF!</definedName>
    <definedName name="_Sem2" localSheetId="14">#REF!</definedName>
    <definedName name="_Sem2" localSheetId="13">#REF!</definedName>
    <definedName name="_Sem2" localSheetId="12">#REF!</definedName>
    <definedName name="_Sem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" i="103" l="1"/>
  <c r="F9" i="10" s="1"/>
  <c r="J14" i="103"/>
  <c r="J70" i="17" s="1"/>
  <c r="J13" i="103"/>
  <c r="J69" i="17" s="1"/>
  <c r="J12" i="103"/>
  <c r="J68" i="17" s="1"/>
  <c r="J11" i="103"/>
  <c r="J67" i="17" s="1"/>
  <c r="J10" i="103"/>
  <c r="J66" i="17" s="1"/>
  <c r="J9" i="103"/>
  <c r="J65" i="17" s="1"/>
  <c r="J8" i="103"/>
  <c r="J64" i="17" s="1"/>
  <c r="J7" i="103"/>
  <c r="J63" i="17" s="1"/>
  <c r="J6" i="103"/>
  <c r="J62" i="17" s="1"/>
  <c r="J5" i="103"/>
  <c r="J61" i="17" s="1"/>
  <c r="J4" i="103"/>
  <c r="J60" i="17" s="1"/>
  <c r="J3" i="103"/>
  <c r="J59" i="17" s="1"/>
  <c r="B102" i="102"/>
  <c r="E9" i="10" s="1"/>
  <c r="J14" i="102"/>
  <c r="F70" i="17" s="1"/>
  <c r="J13" i="102"/>
  <c r="F69" i="17" s="1"/>
  <c r="J12" i="102"/>
  <c r="F68" i="17" s="1"/>
  <c r="J11" i="102"/>
  <c r="F67" i="17" s="1"/>
  <c r="J10" i="102"/>
  <c r="F66" i="17" s="1"/>
  <c r="J9" i="102"/>
  <c r="F65" i="17" s="1"/>
  <c r="J8" i="102"/>
  <c r="F64" i="17" s="1"/>
  <c r="J7" i="102"/>
  <c r="F63" i="17" s="1"/>
  <c r="J6" i="102"/>
  <c r="F62" i="17" s="1"/>
  <c r="J5" i="102"/>
  <c r="F61" i="17" s="1"/>
  <c r="J4" i="102"/>
  <c r="F60" i="17" s="1"/>
  <c r="J3" i="102"/>
  <c r="F59" i="17" s="1"/>
  <c r="B102" i="101"/>
  <c r="D9" i="10" s="1"/>
  <c r="J14" i="101"/>
  <c r="B70" i="17" s="1"/>
  <c r="J13" i="101"/>
  <c r="B69" i="17" s="1"/>
  <c r="J12" i="101"/>
  <c r="B68" i="17" s="1"/>
  <c r="J11" i="101"/>
  <c r="B67" i="17" s="1"/>
  <c r="J10" i="101"/>
  <c r="B66" i="17" s="1"/>
  <c r="J9" i="101"/>
  <c r="B65" i="17" s="1"/>
  <c r="J8" i="101"/>
  <c r="B64" i="17" s="1"/>
  <c r="J7" i="101"/>
  <c r="B63" i="17" s="1"/>
  <c r="J6" i="101"/>
  <c r="B62" i="17" s="1"/>
  <c r="J5" i="101"/>
  <c r="B61" i="17" s="1"/>
  <c r="J4" i="101"/>
  <c r="B60" i="17" s="1"/>
  <c r="J3" i="101"/>
  <c r="B59" i="17" s="1"/>
  <c r="B102" i="100"/>
  <c r="C9" i="10" s="1"/>
  <c r="J14" i="100"/>
  <c r="J52" i="17" s="1"/>
  <c r="J13" i="100"/>
  <c r="J51" i="17" s="1"/>
  <c r="J12" i="100"/>
  <c r="J50" i="17" s="1"/>
  <c r="J11" i="100"/>
  <c r="J49" i="17" s="1"/>
  <c r="J10" i="100"/>
  <c r="J48" i="17" s="1"/>
  <c r="J9" i="100"/>
  <c r="J47" i="17" s="1"/>
  <c r="J8" i="100"/>
  <c r="J46" i="17" s="1"/>
  <c r="J7" i="100"/>
  <c r="J45" i="17" s="1"/>
  <c r="J6" i="100"/>
  <c r="J44" i="17" s="1"/>
  <c r="J5" i="100"/>
  <c r="J43" i="17" s="1"/>
  <c r="J4" i="100"/>
  <c r="J42" i="17" s="1"/>
  <c r="J3" i="100"/>
  <c r="J41" i="17" s="1"/>
  <c r="B102" i="99"/>
  <c r="B9" i="10" s="1"/>
  <c r="J14" i="99"/>
  <c r="F52" i="17" s="1"/>
  <c r="J13" i="99"/>
  <c r="F51" i="17" s="1"/>
  <c r="J12" i="99"/>
  <c r="F50" i="17" s="1"/>
  <c r="J11" i="99"/>
  <c r="F49" i="17" s="1"/>
  <c r="J10" i="99"/>
  <c r="F48" i="17" s="1"/>
  <c r="J9" i="99"/>
  <c r="F47" i="17" s="1"/>
  <c r="J8" i="99"/>
  <c r="F46" i="17" s="1"/>
  <c r="J7" i="99"/>
  <c r="F45" i="17" s="1"/>
  <c r="J6" i="99"/>
  <c r="F44" i="17" s="1"/>
  <c r="J5" i="99"/>
  <c r="F43" i="17" s="1"/>
  <c r="J4" i="99"/>
  <c r="F42" i="17" s="1"/>
  <c r="J3" i="99"/>
  <c r="F41" i="17" s="1"/>
  <c r="B102" i="98"/>
  <c r="A9" i="10" s="1"/>
  <c r="J14" i="98"/>
  <c r="B52" i="17" s="1"/>
  <c r="J13" i="98"/>
  <c r="B51" i="17" s="1"/>
  <c r="J12" i="98"/>
  <c r="B50" i="17" s="1"/>
  <c r="J11" i="98"/>
  <c r="B49" i="17" s="1"/>
  <c r="J10" i="98"/>
  <c r="B48" i="17" s="1"/>
  <c r="J9" i="98"/>
  <c r="B47" i="17" s="1"/>
  <c r="J8" i="98"/>
  <c r="B46" i="17" s="1"/>
  <c r="J7" i="98"/>
  <c r="B45" i="17" s="1"/>
  <c r="J6" i="98"/>
  <c r="B44" i="17" s="1"/>
  <c r="J5" i="98"/>
  <c r="B43" i="17" s="1"/>
  <c r="J4" i="98"/>
  <c r="B42" i="17" s="1"/>
  <c r="J3" i="98"/>
  <c r="B41" i="17" s="1"/>
  <c r="B102" i="97"/>
  <c r="F5" i="10" s="1"/>
  <c r="J14" i="97"/>
  <c r="J34" i="17" s="1"/>
  <c r="J13" i="97"/>
  <c r="J33" i="17" s="1"/>
  <c r="J12" i="97"/>
  <c r="J32" i="17" s="1"/>
  <c r="J11" i="97"/>
  <c r="J31" i="17" s="1"/>
  <c r="J10" i="97"/>
  <c r="J30" i="17" s="1"/>
  <c r="J9" i="97"/>
  <c r="J29" i="17" s="1"/>
  <c r="J8" i="97"/>
  <c r="J28" i="17" s="1"/>
  <c r="J7" i="97"/>
  <c r="J27" i="17" s="1"/>
  <c r="J6" i="97"/>
  <c r="J26" i="17" s="1"/>
  <c r="J5" i="97"/>
  <c r="J25" i="17" s="1"/>
  <c r="J4" i="97"/>
  <c r="J24" i="17" s="1"/>
  <c r="J3" i="97"/>
  <c r="J23" i="17" s="1"/>
  <c r="B102" i="96"/>
  <c r="E5" i="10" s="1"/>
  <c r="J14" i="96"/>
  <c r="F34" i="17" s="1"/>
  <c r="J13" i="96"/>
  <c r="F33" i="17" s="1"/>
  <c r="J12" i="96"/>
  <c r="F32" i="17" s="1"/>
  <c r="J11" i="96"/>
  <c r="F31" i="17" s="1"/>
  <c r="J10" i="96"/>
  <c r="F30" i="17" s="1"/>
  <c r="J9" i="96"/>
  <c r="F29" i="17" s="1"/>
  <c r="J8" i="96"/>
  <c r="F28" i="17" s="1"/>
  <c r="J7" i="96"/>
  <c r="F27" i="17" s="1"/>
  <c r="J6" i="96"/>
  <c r="F26" i="17" s="1"/>
  <c r="J5" i="96"/>
  <c r="F25" i="17" s="1"/>
  <c r="J4" i="96"/>
  <c r="F24" i="17" s="1"/>
  <c r="J3" i="96"/>
  <c r="F23" i="17" s="1"/>
  <c r="B102" i="95"/>
  <c r="D5" i="10" s="1"/>
  <c r="J14" i="95"/>
  <c r="B34" i="17" s="1"/>
  <c r="J13" i="95"/>
  <c r="B33" i="17" s="1"/>
  <c r="J12" i="95"/>
  <c r="B32" i="17" s="1"/>
  <c r="J11" i="95"/>
  <c r="B31" i="17" s="1"/>
  <c r="J10" i="95"/>
  <c r="B30" i="17" s="1"/>
  <c r="J9" i="95"/>
  <c r="B29" i="17" s="1"/>
  <c r="J8" i="95"/>
  <c r="B28" i="17" s="1"/>
  <c r="J7" i="95"/>
  <c r="B27" i="17" s="1"/>
  <c r="J6" i="95"/>
  <c r="B26" i="17" s="1"/>
  <c r="J5" i="95"/>
  <c r="B25" i="17" s="1"/>
  <c r="J4" i="95"/>
  <c r="B24" i="17" s="1"/>
  <c r="J3" i="95"/>
  <c r="B23" i="17" s="1"/>
  <c r="B102" i="94"/>
  <c r="C5" i="10" s="1"/>
  <c r="J14" i="94"/>
  <c r="J16" i="17" s="1"/>
  <c r="J13" i="94"/>
  <c r="J15" i="17" s="1"/>
  <c r="J12" i="94"/>
  <c r="J14" i="17" s="1"/>
  <c r="J11" i="94"/>
  <c r="J13" i="17" s="1"/>
  <c r="J10" i="94"/>
  <c r="J12" i="17" s="1"/>
  <c r="J9" i="94"/>
  <c r="J11" i="17" s="1"/>
  <c r="J8" i="94"/>
  <c r="J10" i="17" s="1"/>
  <c r="J7" i="94"/>
  <c r="J9" i="17" s="1"/>
  <c r="J6" i="94"/>
  <c r="J8" i="17" s="1"/>
  <c r="J5" i="94"/>
  <c r="J7" i="17" s="1"/>
  <c r="J4" i="94"/>
  <c r="J6" i="17" s="1"/>
  <c r="J3" i="94"/>
  <c r="J5" i="17" s="1"/>
  <c r="B102" i="93"/>
  <c r="B5" i="10" s="1"/>
  <c r="J14" i="93"/>
  <c r="F16" i="17" s="1"/>
  <c r="J13" i="93"/>
  <c r="F15" i="17" s="1"/>
  <c r="J12" i="93"/>
  <c r="F14" i="17" s="1"/>
  <c r="J11" i="93"/>
  <c r="F13" i="17" s="1"/>
  <c r="J10" i="93"/>
  <c r="F12" i="17" s="1"/>
  <c r="J9" i="93"/>
  <c r="F11" i="17" s="1"/>
  <c r="J8" i="93"/>
  <c r="F10" i="17" s="1"/>
  <c r="J7" i="93"/>
  <c r="F9" i="17" s="1"/>
  <c r="J6" i="93"/>
  <c r="F8" i="17" s="1"/>
  <c r="J5" i="93"/>
  <c r="F7" i="17" s="1"/>
  <c r="J4" i="93"/>
  <c r="F6" i="17" s="1"/>
  <c r="J3" i="93"/>
  <c r="F5" i="17" s="1"/>
  <c r="B54" i="17" l="1"/>
  <c r="J16" i="103"/>
  <c r="K12" i="103" s="1"/>
  <c r="J16" i="97"/>
  <c r="K10" i="97" s="1"/>
  <c r="J16" i="93"/>
  <c r="K3" i="93" s="1"/>
  <c r="J16" i="94"/>
  <c r="K4" i="94" s="1"/>
  <c r="J16" i="95"/>
  <c r="K14" i="95" s="1"/>
  <c r="J16" i="96"/>
  <c r="K6" i="96" s="1"/>
  <c r="J16" i="98"/>
  <c r="K10" i="98" s="1"/>
  <c r="J16" i="99"/>
  <c r="K3" i="99" s="1"/>
  <c r="J16" i="100"/>
  <c r="K14" i="100" s="1"/>
  <c r="J16" i="101"/>
  <c r="K9" i="101" s="1"/>
  <c r="J16" i="102"/>
  <c r="K13" i="102" s="1"/>
  <c r="K9" i="99" l="1"/>
  <c r="K13" i="103"/>
  <c r="K7" i="103"/>
  <c r="K3" i="103"/>
  <c r="K9" i="103"/>
  <c r="K12" i="102"/>
  <c r="K11" i="101"/>
  <c r="K12" i="101"/>
  <c r="K5" i="101"/>
  <c r="K6" i="101"/>
  <c r="K6" i="100"/>
  <c r="K12" i="100"/>
  <c r="K7" i="100"/>
  <c r="K14" i="99"/>
  <c r="K10" i="99"/>
  <c r="K4" i="99"/>
  <c r="K5" i="98"/>
  <c r="K3" i="97"/>
  <c r="K4" i="97"/>
  <c r="K9" i="97"/>
  <c r="K14" i="103"/>
  <c r="K8" i="103"/>
  <c r="K5" i="103"/>
  <c r="K11" i="103"/>
  <c r="K10" i="103"/>
  <c r="K4" i="103"/>
  <c r="K6" i="103"/>
  <c r="K8" i="102"/>
  <c r="K6" i="102"/>
  <c r="K4" i="101"/>
  <c r="K3" i="100"/>
  <c r="K11" i="98"/>
  <c r="K14" i="98"/>
  <c r="K6" i="98"/>
  <c r="K5" i="97"/>
  <c r="K11" i="97"/>
  <c r="K14" i="97"/>
  <c r="K6" i="97"/>
  <c r="K12" i="97"/>
  <c r="K7" i="97"/>
  <c r="K13" i="97"/>
  <c r="K8" i="97"/>
  <c r="K8" i="96"/>
  <c r="K7" i="96"/>
  <c r="K13" i="96"/>
  <c r="K3" i="96"/>
  <c r="K9" i="96"/>
  <c r="K4" i="95"/>
  <c r="K13" i="95"/>
  <c r="K11" i="95"/>
  <c r="K6" i="95"/>
  <c r="K7" i="95"/>
  <c r="K8" i="95"/>
  <c r="K10" i="95"/>
  <c r="K5" i="95"/>
  <c r="K12" i="95"/>
  <c r="K3" i="95"/>
  <c r="K9" i="95"/>
  <c r="K11" i="94"/>
  <c r="K10" i="94"/>
  <c r="K5" i="94"/>
  <c r="K14" i="94"/>
  <c r="K12" i="94"/>
  <c r="K13" i="93"/>
  <c r="K9" i="93"/>
  <c r="K14" i="93"/>
  <c r="K4" i="93"/>
  <c r="K12" i="93"/>
  <c r="K8" i="93"/>
  <c r="K10" i="93"/>
  <c r="K5" i="93"/>
  <c r="K11" i="93"/>
  <c r="K6" i="93"/>
  <c r="K7" i="93"/>
  <c r="K8" i="94"/>
  <c r="K6" i="94"/>
  <c r="K7" i="94"/>
  <c r="K13" i="94"/>
  <c r="K3" i="94"/>
  <c r="K9" i="94"/>
  <c r="K10" i="96"/>
  <c r="K5" i="96"/>
  <c r="K12" i="96"/>
  <c r="K4" i="96"/>
  <c r="K11" i="96"/>
  <c r="K14" i="96"/>
  <c r="K8" i="98"/>
  <c r="K7" i="98"/>
  <c r="K3" i="98"/>
  <c r="K12" i="98"/>
  <c r="K13" i="98"/>
  <c r="K9" i="98"/>
  <c r="K4" i="98"/>
  <c r="K11" i="99"/>
  <c r="K12" i="99"/>
  <c r="K8" i="99"/>
  <c r="K5" i="99"/>
  <c r="K6" i="99"/>
  <c r="K7" i="99"/>
  <c r="K13" i="99"/>
  <c r="K9" i="100"/>
  <c r="K4" i="100"/>
  <c r="K5" i="100"/>
  <c r="K11" i="100"/>
  <c r="K10" i="100"/>
  <c r="K13" i="100"/>
  <c r="K8" i="100"/>
  <c r="K7" i="101"/>
  <c r="K13" i="101"/>
  <c r="K8" i="101"/>
  <c r="K14" i="101"/>
  <c r="K10" i="101"/>
  <c r="K3" i="101"/>
  <c r="K3" i="102"/>
  <c r="K4" i="102"/>
  <c r="K10" i="102"/>
  <c r="K9" i="102"/>
  <c r="K11" i="102"/>
  <c r="K5" i="102"/>
  <c r="K14" i="102"/>
  <c r="K7" i="102"/>
  <c r="K16" i="103" l="1"/>
  <c r="K16" i="97"/>
  <c r="K16" i="95"/>
  <c r="K16" i="102"/>
  <c r="K16" i="100"/>
  <c r="K16" i="99"/>
  <c r="K16" i="98"/>
  <c r="K16" i="96"/>
  <c r="K16" i="94"/>
  <c r="K16" i="93"/>
  <c r="K16" i="101"/>
  <c r="J14" i="91" l="1"/>
  <c r="B16" i="17" s="1"/>
  <c r="J13" i="91"/>
  <c r="B15" i="17" s="1"/>
  <c r="J12" i="91"/>
  <c r="B14" i="17" s="1"/>
  <c r="J11" i="91"/>
  <c r="B13" i="17" s="1"/>
  <c r="J10" i="91"/>
  <c r="B12" i="17" s="1"/>
  <c r="J9" i="91"/>
  <c r="B11" i="17" s="1"/>
  <c r="J8" i="91"/>
  <c r="B10" i="17" s="1"/>
  <c r="J7" i="91"/>
  <c r="B9" i="17" s="1"/>
  <c r="J6" i="91"/>
  <c r="B8" i="17" s="1"/>
  <c r="J5" i="91"/>
  <c r="B7" i="17" s="1"/>
  <c r="J4" i="91"/>
  <c r="B6" i="17" s="1"/>
  <c r="J3" i="91"/>
  <c r="B5" i="17" s="1"/>
  <c r="Q5" i="17" s="1"/>
  <c r="B102" i="91"/>
  <c r="A5" i="10" s="1"/>
  <c r="F18" i="17" l="1"/>
  <c r="G6" i="17" l="1"/>
  <c r="G7" i="17"/>
  <c r="G8" i="17"/>
  <c r="G9" i="17"/>
  <c r="G10" i="17"/>
  <c r="G11" i="17"/>
  <c r="G12" i="17"/>
  <c r="G13" i="17"/>
  <c r="G14" i="17"/>
  <c r="G15" i="17"/>
  <c r="G16" i="17"/>
  <c r="G5" i="17"/>
  <c r="Q6" i="17"/>
  <c r="Q7" i="17"/>
  <c r="Q8" i="17"/>
  <c r="Q9" i="17"/>
  <c r="Q10" i="17"/>
  <c r="Q11" i="17"/>
  <c r="Q12" i="17"/>
  <c r="Q13" i="17"/>
  <c r="Q14" i="17"/>
  <c r="Q15" i="17"/>
  <c r="Q16" i="17"/>
  <c r="J16" i="91"/>
  <c r="K8" i="91" l="1"/>
  <c r="K9" i="91"/>
  <c r="K10" i="91"/>
  <c r="K11" i="91"/>
  <c r="K12" i="91"/>
  <c r="K4" i="91"/>
  <c r="K7" i="91"/>
  <c r="K13" i="91"/>
  <c r="K14" i="91"/>
  <c r="K3" i="91"/>
  <c r="K6" i="91"/>
  <c r="K5" i="91"/>
  <c r="G18" i="17"/>
  <c r="J72" i="17"/>
  <c r="F72" i="17"/>
  <c r="J54" i="17"/>
  <c r="F54" i="17"/>
  <c r="G42" i="17" s="1"/>
  <c r="J36" i="17"/>
  <c r="F36" i="17"/>
  <c r="L27" i="12"/>
  <c r="N9" i="10" s="1"/>
  <c r="J27" i="12"/>
  <c r="M9" i="10" s="1"/>
  <c r="H27" i="12"/>
  <c r="L9" i="10" s="1"/>
  <c r="F27" i="12"/>
  <c r="K9" i="10" s="1"/>
  <c r="D27" i="12"/>
  <c r="J9" i="10" s="1"/>
  <c r="B27" i="12"/>
  <c r="I9" i="10" s="1"/>
  <c r="L14" i="12"/>
  <c r="N5" i="10" s="1"/>
  <c r="J14" i="12"/>
  <c r="M5" i="10" s="1"/>
  <c r="H14" i="12"/>
  <c r="L5" i="10" s="1"/>
  <c r="F14" i="12"/>
  <c r="K5" i="10" s="1"/>
  <c r="D14" i="12"/>
  <c r="J5" i="10" s="1"/>
  <c r="B14" i="12"/>
  <c r="I5" i="10" s="1"/>
  <c r="C12" i="10"/>
  <c r="G4" i="10"/>
  <c r="G3" i="10"/>
  <c r="S5" i="10" l="1"/>
  <c r="S6" i="10" s="1"/>
  <c r="T5" i="10"/>
  <c r="T6" i="10" s="1"/>
  <c r="U5" i="10"/>
  <c r="U6" i="10" s="1"/>
  <c r="V5" i="10"/>
  <c r="V6" i="10" s="1"/>
  <c r="R9" i="10"/>
  <c r="R10" i="10" s="1"/>
  <c r="S9" i="10"/>
  <c r="S10" i="10" s="1"/>
  <c r="T9" i="10"/>
  <c r="T10" i="10" s="1"/>
  <c r="U9" i="10"/>
  <c r="U10" i="10" s="1"/>
  <c r="V9" i="10"/>
  <c r="V10" i="10" s="1"/>
  <c r="Q9" i="10"/>
  <c r="Q10" i="10"/>
  <c r="R5" i="10"/>
  <c r="R6" i="10" s="1"/>
  <c r="Q5" i="10"/>
  <c r="Q6" i="10" s="1"/>
  <c r="K63" i="17"/>
  <c r="K64" i="17"/>
  <c r="K60" i="17"/>
  <c r="K61" i="17"/>
  <c r="K65" i="17"/>
  <c r="K66" i="17"/>
  <c r="K68" i="17"/>
  <c r="K67" i="17"/>
  <c r="K69" i="17"/>
  <c r="K70" i="17"/>
  <c r="K59" i="17"/>
  <c r="K62" i="17"/>
  <c r="G64" i="17"/>
  <c r="G66" i="17"/>
  <c r="G67" i="17"/>
  <c r="G68" i="17"/>
  <c r="G69" i="17"/>
  <c r="G70" i="17"/>
  <c r="G59" i="17"/>
  <c r="G60" i="17"/>
  <c r="G61" i="17"/>
  <c r="G65" i="17"/>
  <c r="G62" i="17"/>
  <c r="G63" i="17"/>
  <c r="K50" i="17"/>
  <c r="K51" i="17"/>
  <c r="K45" i="17"/>
  <c r="K47" i="17"/>
  <c r="K52" i="17"/>
  <c r="K41" i="17"/>
  <c r="K46" i="17"/>
  <c r="K42" i="17"/>
  <c r="K43" i="17"/>
  <c r="K44" i="17"/>
  <c r="K48" i="17"/>
  <c r="K49" i="17"/>
  <c r="G49" i="17"/>
  <c r="G50" i="17"/>
  <c r="G51" i="17"/>
  <c r="G52" i="17"/>
  <c r="G41" i="17"/>
  <c r="G43" i="17"/>
  <c r="G48" i="17"/>
  <c r="G44" i="17"/>
  <c r="G45" i="17"/>
  <c r="G46" i="17"/>
  <c r="G47" i="17"/>
  <c r="K24" i="17"/>
  <c r="K25" i="17"/>
  <c r="K26" i="17"/>
  <c r="K27" i="17"/>
  <c r="K28" i="17"/>
  <c r="K31" i="17"/>
  <c r="K29" i="17"/>
  <c r="K30" i="17"/>
  <c r="K33" i="17"/>
  <c r="K23" i="17"/>
  <c r="K32" i="17"/>
  <c r="K34" i="17"/>
  <c r="G28" i="17"/>
  <c r="G29" i="17"/>
  <c r="G30" i="17"/>
  <c r="G31" i="17"/>
  <c r="G33" i="17"/>
  <c r="G25" i="17"/>
  <c r="G26" i="17"/>
  <c r="G32" i="17"/>
  <c r="G27" i="17"/>
  <c r="G34" i="17"/>
  <c r="G23" i="17"/>
  <c r="G24" i="17"/>
  <c r="O4" i="10"/>
  <c r="O3" i="10"/>
  <c r="G32" i="12"/>
  <c r="K16" i="91"/>
  <c r="B72" i="17"/>
  <c r="B36" i="17"/>
  <c r="J18" i="17"/>
  <c r="B18" i="17"/>
  <c r="G5" i="10"/>
  <c r="C14" i="10" s="1"/>
  <c r="K12" i="10"/>
  <c r="K5" i="17" l="1"/>
  <c r="K6" i="17"/>
  <c r="K12" i="17"/>
  <c r="K13" i="17"/>
  <c r="K14" i="17"/>
  <c r="K7" i="17"/>
  <c r="K8" i="17"/>
  <c r="K15" i="17"/>
  <c r="K9" i="17"/>
  <c r="K16" i="17"/>
  <c r="K10" i="17"/>
  <c r="K11" i="17"/>
  <c r="S12" i="10"/>
  <c r="V14" i="10" s="1"/>
  <c r="W3" i="10"/>
  <c r="C6" i="17"/>
  <c r="C7" i="17"/>
  <c r="C8" i="17"/>
  <c r="C9" i="17"/>
  <c r="C10" i="17"/>
  <c r="C11" i="17"/>
  <c r="C5" i="17"/>
  <c r="C12" i="17"/>
  <c r="C13" i="17"/>
  <c r="C14" i="17"/>
  <c r="C15" i="17"/>
  <c r="C16" i="17"/>
  <c r="G72" i="17"/>
  <c r="K72" i="17"/>
  <c r="C65" i="17"/>
  <c r="C66" i="17"/>
  <c r="C67" i="17"/>
  <c r="C62" i="17"/>
  <c r="C68" i="17"/>
  <c r="C70" i="17"/>
  <c r="C63" i="17"/>
  <c r="C69" i="17"/>
  <c r="C61" i="17"/>
  <c r="C64" i="17"/>
  <c r="C59" i="17"/>
  <c r="C60" i="17"/>
  <c r="K36" i="17"/>
  <c r="C23" i="17"/>
  <c r="C25" i="17"/>
  <c r="C24" i="17"/>
  <c r="C26" i="17"/>
  <c r="C27" i="17"/>
  <c r="C28" i="17"/>
  <c r="C30" i="17"/>
  <c r="C29" i="17"/>
  <c r="C31" i="17"/>
  <c r="C32" i="17"/>
  <c r="C33" i="17"/>
  <c r="C34" i="17"/>
  <c r="C42" i="17"/>
  <c r="C43" i="17"/>
  <c r="C44" i="17"/>
  <c r="C45" i="17"/>
  <c r="C41" i="17"/>
  <c r="C46" i="17"/>
  <c r="C51" i="17"/>
  <c r="C47" i="17"/>
  <c r="C48" i="17"/>
  <c r="C49" i="17"/>
  <c r="C50" i="17"/>
  <c r="C52" i="17"/>
  <c r="O5" i="10"/>
  <c r="K14" i="10" s="1"/>
  <c r="W4" i="10"/>
  <c r="G36" i="17"/>
  <c r="K54" i="17"/>
  <c r="G54" i="17"/>
  <c r="Q18" i="17"/>
  <c r="W5" i="10" l="1"/>
  <c r="S14" i="10" s="1"/>
  <c r="R5" i="17"/>
  <c r="R16" i="17"/>
  <c r="R9" i="17"/>
  <c r="R15" i="17"/>
  <c r="R12" i="17"/>
  <c r="R10" i="17"/>
  <c r="R8" i="17"/>
  <c r="R6" i="17"/>
  <c r="R14" i="17"/>
  <c r="R11" i="17"/>
  <c r="R13" i="17"/>
  <c r="R7" i="17"/>
  <c r="C36" i="17"/>
  <c r="C54" i="17"/>
  <c r="C72" i="17"/>
  <c r="K18" i="17"/>
  <c r="C18" i="17"/>
  <c r="R18" i="17" l="1"/>
</calcChain>
</file>

<file path=xl/sharedStrings.xml><?xml version="1.0" encoding="utf-8"?>
<sst xmlns="http://schemas.openxmlformats.org/spreadsheetml/2006/main" count="616" uniqueCount="64">
  <si>
    <t>Valor</t>
  </si>
  <si>
    <t>Origem da Despesa</t>
  </si>
  <si>
    <t>Desenvolvimento Pessoal</t>
  </si>
  <si>
    <t>Alimentação / Nutrição</t>
  </si>
  <si>
    <t>Farmácia / Medicamentos</t>
  </si>
  <si>
    <t>Vestuário</t>
  </si>
  <si>
    <t>Revisão</t>
  </si>
  <si>
    <t>Data</t>
  </si>
  <si>
    <t>Motivo</t>
  </si>
  <si>
    <t>Rev.00</t>
  </si>
  <si>
    <t>Descrição da Despesa</t>
  </si>
  <si>
    <t>Miscelâneas</t>
  </si>
  <si>
    <t>Total</t>
  </si>
  <si>
    <t>Porcentagem</t>
  </si>
  <si>
    <t>Média Receita por mês</t>
  </si>
  <si>
    <t>Descrição</t>
  </si>
  <si>
    <t>Total Geral</t>
  </si>
  <si>
    <t>Motivador</t>
  </si>
  <si>
    <t>Essencial</t>
  </si>
  <si>
    <t>Não Essencial</t>
  </si>
  <si>
    <t>Casa / Moradia</t>
  </si>
  <si>
    <t>Higiene / Estética / Bem-estar</t>
  </si>
  <si>
    <t>Filantropia / Doação</t>
  </si>
  <si>
    <t>Carro / Transporte</t>
  </si>
  <si>
    <t>Viagem / Passeios / Turismo</t>
  </si>
  <si>
    <t>Total Receitas 2026</t>
  </si>
  <si>
    <t>Ano 2026 - DESPESAS</t>
  </si>
  <si>
    <t>Ano 2026 - RECEITAS</t>
  </si>
  <si>
    <t>Ano 2026 - BALANÇO LÍQUIDO</t>
  </si>
  <si>
    <t>Jan'26</t>
  </si>
  <si>
    <t>Fev'26</t>
  </si>
  <si>
    <t>Mar'26</t>
  </si>
  <si>
    <t>Abr'26</t>
  </si>
  <si>
    <t>Mai'26</t>
  </si>
  <si>
    <t>Jun'26</t>
  </si>
  <si>
    <t>Jul'26</t>
  </si>
  <si>
    <t>Ago'26</t>
  </si>
  <si>
    <t>Set'26</t>
  </si>
  <si>
    <t>Out'26</t>
  </si>
  <si>
    <t>Nov'26</t>
  </si>
  <si>
    <t>Dez'26</t>
  </si>
  <si>
    <t>Janeiro 2026</t>
  </si>
  <si>
    <t>Fevereiro 2026</t>
  </si>
  <si>
    <t>Março 2026</t>
  </si>
  <si>
    <t>Abril 2026</t>
  </si>
  <si>
    <t>Maio 2026</t>
  </si>
  <si>
    <t>Junho 2026</t>
  </si>
  <si>
    <t>Setembro 2026</t>
  </si>
  <si>
    <t>Agosto 2026</t>
  </si>
  <si>
    <t>Julho 2026</t>
  </si>
  <si>
    <t>Outubro 2026</t>
  </si>
  <si>
    <t>Novembro 2026</t>
  </si>
  <si>
    <t>Dezembro 2026</t>
  </si>
  <si>
    <t>Planilha Organização Financeira</t>
  </si>
  <si>
    <t>Rev.00 - 01/01/2026</t>
  </si>
  <si>
    <t>Lazer / Supérfluos</t>
  </si>
  <si>
    <t>Celular / Computador</t>
  </si>
  <si>
    <t>Despesas Ano de 2026 - compilado</t>
  </si>
  <si>
    <t>Criação da planilha</t>
  </si>
  <si>
    <t>Total Despesas 2026</t>
  </si>
  <si>
    <t>Média Despesas por mês</t>
  </si>
  <si>
    <t>Total Balanço Líquido 2026</t>
  </si>
  <si>
    <t>Média Balanço Líquido por mês</t>
  </si>
  <si>
    <t>Média final Balanço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</si>
</sst>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#,##0.00"/>
    <numFmt numFmtId="165" formatCode="0.0%"/>
    <numFmt numFmtId="166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 applyProtection="1">
      <alignment horizontal="left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0" borderId="1" xfId="1" applyNumberFormat="1" applyFont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 applyProtection="1">
      <alignment horizontal="center" vertical="center"/>
      <protection locked="0"/>
    </xf>
    <xf numFmtId="166" fontId="0" fillId="4" borderId="1" xfId="0" applyNumberForma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Ano de 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Valores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Despesas!$P$5:$P$16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Despesas!$Q$5:$Q$16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Despesas</a:t>
            </a:r>
            <a:r>
              <a:rPr lang="en-US" sz="2400" baseline="0"/>
              <a:t> Janeiro/2026</a:t>
            </a:r>
            <a:endParaRPr lang="en-US" sz="2400"/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'Jan''26'!$I$3:$I$14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'Jan''26'!$J$3:$J$14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Fevereiro/2026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'Fev''26'!$I$3:$I$14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'Fev''26'!$J$3:$J$14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Março/2026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'Mar''26'!$J$3:$J$14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Abril/2026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'Abr''26'!$J$3:$J$14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Maio/2026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'Mai''26'!$J$3:$J$14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Junho/2026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'Jun''26'!$J$3:$J$14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Julho/2026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'Jul''26'!$I$3:$I$14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'Jul''26'!$J$3:$J$14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Agosto/2026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'Ago''26'!$I$3:$I$14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'Ago''26'!$J$3:$J$14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Setembro/2026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'Set''26'!$I$3:$I$14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'Set''26'!$J$3:$J$14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Outubro/2026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'Out''26'!$J$3:$J$14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Novembro/2026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'Nov''26'!$I$3:$I$14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'Nov''26'!$J$3:$J$14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Dezembro/2026</a:t>
            </a:r>
          </a:p>
        </c:rich>
      </c:tx>
      <c:layout>
        <c:manualLayout>
          <c:xMode val="edge"/>
          <c:yMode val="edge"/>
          <c:x val="0.32466801302213583"/>
          <c:y val="1.16110322481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2-441D-89DD-E5D81EA985A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2-441D-89DD-E5D81EA98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2-441D-89DD-E5D81EA98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2-441D-89DD-E5D81EA985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2-441D-89DD-E5D81EA985A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2-441D-89DD-E5D81EA985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2-441D-89DD-E5D81EA985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2-441D-89DD-E5D81EA985A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2-441D-89DD-E5D81EA985A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2-441D-89DD-E5D81EA985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12-441D-89DD-E5D81EA985A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12-441D-89DD-E5D81EA98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'Dez''26'!$I$3:$I$14</c:f>
              <c:strCache>
                <c:ptCount val="12"/>
                <c:pt idx="0">
                  <c:v>Alimentação / Nutrição</c:v>
                </c:pt>
                <c:pt idx="1">
                  <c:v>Carro / Transporte</c:v>
                </c:pt>
                <c:pt idx="2">
                  <c:v>Casa / Moradia</c:v>
                </c:pt>
                <c:pt idx="3">
                  <c:v>Celular / Computador</c:v>
                </c:pt>
                <c:pt idx="4">
                  <c:v>Desenvolvimento Pessoal</c:v>
                </c:pt>
                <c:pt idx="5">
                  <c:v>Farmácia / Medicamentos</c:v>
                </c:pt>
                <c:pt idx="6">
                  <c:v>Filantropia / Doação</c:v>
                </c:pt>
                <c:pt idx="7">
                  <c:v>Higiene / Estética / Bem-estar</c:v>
                </c:pt>
                <c:pt idx="8">
                  <c:v>Lazer / Supérfluos</c:v>
                </c:pt>
                <c:pt idx="9">
                  <c:v>Miscelâneas</c:v>
                </c:pt>
                <c:pt idx="10">
                  <c:v>Vestuário</c:v>
                </c:pt>
                <c:pt idx="11">
                  <c:v>Viagem / Passeios / Turismo</c:v>
                </c:pt>
              </c:strCache>
            </c:strRef>
          </c:cat>
          <c:val>
            <c:numRef>
              <c:f>'Dez''26'!$J$3:$J$14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12-441D-89DD-E5D81EA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4571088"/>
        <c:axId val="644571448"/>
      </c:barChart>
      <c:catAx>
        <c:axId val="64457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448"/>
        <c:crosses val="autoZero"/>
        <c:auto val="1"/>
        <c:lblAlgn val="ctr"/>
        <c:lblOffset val="100"/>
        <c:noMultiLvlLbl val="0"/>
      </c:catAx>
      <c:valAx>
        <c:axId val="6445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8</xdr:col>
      <xdr:colOff>450850</xdr:colOff>
      <xdr:row>44</xdr:row>
      <xdr:rowOff>9524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58C019-D1FF-4A10-855D-DB21762A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5327650" cy="8181974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0</xdr:row>
      <xdr:rowOff>19050</xdr:rowOff>
    </xdr:from>
    <xdr:to>
      <xdr:col>20</xdr:col>
      <xdr:colOff>96218</xdr:colOff>
      <xdr:row>45</xdr:row>
      <xdr:rowOff>1194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B004C70-C64C-D89E-743B-EC91C78BA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19050"/>
          <a:ext cx="6935168" cy="8554644"/>
        </a:xfrm>
        <a:prstGeom prst="rect">
          <a:avLst/>
        </a:prstGeom>
      </xdr:spPr>
    </xdr:pic>
    <xdr:clientData/>
  </xdr:twoCellAnchor>
  <xdr:twoCellAnchor editAs="oneCell">
    <xdr:from>
      <xdr:col>20</xdr:col>
      <xdr:colOff>276225</xdr:colOff>
      <xdr:row>0</xdr:row>
      <xdr:rowOff>0</xdr:rowOff>
    </xdr:from>
    <xdr:to>
      <xdr:col>31</xdr:col>
      <xdr:colOff>553424</xdr:colOff>
      <xdr:row>44</xdr:row>
      <xdr:rowOff>144065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4546B7D-FECE-D574-8A5E-25F37CC4B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49175" y="0"/>
          <a:ext cx="6982799" cy="8526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18</xdr:row>
      <xdr:rowOff>114300</xdr:rowOff>
    </xdr:from>
    <xdr:to>
      <xdr:col>22</xdr:col>
      <xdr:colOff>466725</xdr:colOff>
      <xdr:row>53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146C6DA-DED7-43A5-A366-665ED3FD5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D215C9-F195-46A5-BEA7-1B384DFA0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029C73-5710-4C2D-8C09-713BBB1FC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562464-F734-480A-951A-CCBFB5BC2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A095C5-3839-47AE-B3B7-E49BBC9E2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8F5093-8D7B-423E-8099-46A79F8B1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9613B0-1EF4-4939-B5A8-D6A35FE4F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0C4EC2-B4F5-478D-8828-DB532CB56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45D423-C481-4A9A-B4B8-A3AB6FA74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EA5FEF-80C6-4FF4-A237-2A69D0643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FEB838-0298-4146-B991-D203B6A39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81DCD2-9661-4E7D-BB57-912BDF491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17</xdr:row>
      <xdr:rowOff>104776</xdr:rowOff>
    </xdr:from>
    <xdr:to>
      <xdr:col>16</xdr:col>
      <xdr:colOff>476250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04E4F6-5431-43A8-8196-8A740E819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showGridLines="0" tabSelected="1" workbookViewId="0"/>
  </sheetViews>
  <sheetFormatPr defaultRowHeight="15" x14ac:dyDescent="0.25"/>
  <cols>
    <col min="11" max="11" width="8.8554687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6"/>
    </row>
  </sheetData>
  <sheetProtection algorithmName="SHA-512" hashValue="2mMPuFj27yg4max+9SYpNyD7tD3BH1ni3hGrJaxWeqZ1bYRTzGwkovgOw7LeM92ROjCn4dOlcUS0FMpuHDbHEg==" saltValue="8XHYy6ufS+Vb6aU53p0/Gw==" spinCount="100000" sheet="1" formatCells="0" formatColumns="0" formatRows="0" insertColumns="0" insertRows="0" insertHyperlinks="0" deleteColumns="0" deleteRows="0" selectLockedCells="1" sort="0" autoFilter="0" pivotTables="0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W27"/>
  <sheetViews>
    <sheetView showGridLines="0" workbookViewId="0">
      <selection activeCell="A2" sqref="A2"/>
    </sheetView>
  </sheetViews>
  <sheetFormatPr defaultColWidth="15.7109375" defaultRowHeight="18" customHeight="1" x14ac:dyDescent="0.25"/>
  <cols>
    <col min="1" max="2" width="18.7109375" style="29" customWidth="1"/>
    <col min="3" max="6" width="15.7109375" style="29"/>
    <col min="7" max="7" width="5.7109375" style="29" hidden="1" customWidth="1"/>
    <col min="8" max="8" width="10.7109375" style="29" customWidth="1"/>
    <col min="9" max="13" width="15.7109375" style="29"/>
    <col min="14" max="14" width="15.7109375" style="29" customWidth="1"/>
    <col min="15" max="15" width="5.7109375" style="29" hidden="1" customWidth="1"/>
    <col min="16" max="16" width="10.7109375" style="29" customWidth="1"/>
    <col min="17" max="17" width="15.7109375" style="29"/>
    <col min="18" max="18" width="18.7109375" style="29" customWidth="1"/>
    <col min="19" max="20" width="15.7109375" style="29"/>
    <col min="21" max="21" width="18.7109375" style="29" customWidth="1"/>
    <col min="22" max="22" width="15.7109375" style="29"/>
    <col min="23" max="23" width="5.7109375" style="29" hidden="1" customWidth="1"/>
    <col min="24" max="16384" width="15.7109375" style="29"/>
  </cols>
  <sheetData>
    <row r="1" spans="1:23" ht="18" customHeight="1" x14ac:dyDescent="0.25">
      <c r="A1" s="28" t="s">
        <v>54</v>
      </c>
    </row>
    <row r="2" spans="1:23" ht="18" customHeight="1" x14ac:dyDescent="0.25">
      <c r="A2" s="18"/>
    </row>
    <row r="3" spans="1:23" ht="18" customHeight="1" x14ac:dyDescent="0.25">
      <c r="A3" s="38" t="s">
        <v>26</v>
      </c>
      <c r="B3" s="38"/>
      <c r="C3" s="38"/>
      <c r="D3" s="38"/>
      <c r="E3" s="38"/>
      <c r="F3" s="38"/>
      <c r="G3" s="29">
        <f>COUNTIF(A5:F5,"&lt;&gt;-")</f>
        <v>0</v>
      </c>
      <c r="I3" s="38" t="s">
        <v>27</v>
      </c>
      <c r="J3" s="38"/>
      <c r="K3" s="38"/>
      <c r="L3" s="38"/>
      <c r="M3" s="38"/>
      <c r="N3" s="38"/>
      <c r="O3" s="29">
        <f>COUNTIF(I5:N5,"&lt;&gt;-")</f>
        <v>0</v>
      </c>
      <c r="Q3" s="38" t="s">
        <v>28</v>
      </c>
      <c r="R3" s="38"/>
      <c r="S3" s="38"/>
      <c r="T3" s="38"/>
      <c r="U3" s="38"/>
      <c r="V3" s="38"/>
      <c r="W3" s="29">
        <f>COUNTIF(Q5:V5,"&lt;&gt;-")</f>
        <v>0</v>
      </c>
    </row>
    <row r="4" spans="1:23" ht="18" customHeight="1" x14ac:dyDescent="0.25">
      <c r="A4" s="26" t="s">
        <v>29</v>
      </c>
      <c r="B4" s="26" t="s">
        <v>30</v>
      </c>
      <c r="C4" s="26" t="s">
        <v>31</v>
      </c>
      <c r="D4" s="26" t="s">
        <v>32</v>
      </c>
      <c r="E4" s="26" t="s">
        <v>33</v>
      </c>
      <c r="F4" s="26" t="s">
        <v>34</v>
      </c>
      <c r="G4" s="29">
        <f>COUNTIF(A9:F9,"&lt;&gt;-")</f>
        <v>0</v>
      </c>
      <c r="I4" s="26" t="s">
        <v>29</v>
      </c>
      <c r="J4" s="26" t="s">
        <v>30</v>
      </c>
      <c r="K4" s="26" t="s">
        <v>31</v>
      </c>
      <c r="L4" s="26" t="s">
        <v>32</v>
      </c>
      <c r="M4" s="26" t="s">
        <v>33</v>
      </c>
      <c r="N4" s="26" t="s">
        <v>34</v>
      </c>
      <c r="O4" s="29">
        <f>COUNTIF(I9:N9,"&lt;&gt;-")</f>
        <v>0</v>
      </c>
      <c r="Q4" s="26" t="s">
        <v>29</v>
      </c>
      <c r="R4" s="26" t="s">
        <v>30</v>
      </c>
      <c r="S4" s="26" t="s">
        <v>31</v>
      </c>
      <c r="T4" s="26" t="s">
        <v>32</v>
      </c>
      <c r="U4" s="26" t="s">
        <v>33</v>
      </c>
      <c r="V4" s="26" t="s">
        <v>34</v>
      </c>
      <c r="W4" s="29">
        <f>COUNTIF(Q9:V9,"&lt;&gt;-")</f>
        <v>0</v>
      </c>
    </row>
    <row r="5" spans="1:23" ht="18" customHeight="1" x14ac:dyDescent="0.25">
      <c r="A5" s="30" t="str">
        <f>IF('Jan''26'!B102=0,"-",'Jan''26'!B102)</f>
        <v>-</v>
      </c>
      <c r="B5" s="30" t="str">
        <f>IF('Fev''26'!B102=0,"-",'Fev''26'!B102)</f>
        <v>-</v>
      </c>
      <c r="C5" s="30" t="str">
        <f>IF('Mar''26'!B102=0,"-",'Mar''26'!B102)</f>
        <v>-</v>
      </c>
      <c r="D5" s="30" t="str">
        <f>IF('Abr''26'!B102=0,"-",'Abr''26'!B102)</f>
        <v>-</v>
      </c>
      <c r="E5" s="30" t="str">
        <f>IF('Mai''26'!B102=0,"-",'Mai''26'!B102)</f>
        <v>-</v>
      </c>
      <c r="F5" s="30" t="str">
        <f>IF('Jun''26'!B102=0,"-",'Jun''26'!B102)</f>
        <v>-</v>
      </c>
      <c r="G5" s="29">
        <f>SUM(G3:G4)</f>
        <v>0</v>
      </c>
      <c r="I5" s="30" t="str">
        <f>IF(Receitas!B14=0,"-",Receitas!B14)</f>
        <v>-</v>
      </c>
      <c r="J5" s="30" t="str">
        <f>IF(Receitas!D14=0,"-",Receitas!D14)</f>
        <v>-</v>
      </c>
      <c r="K5" s="30" t="str">
        <f>IF(Receitas!F14=0,"-",Receitas!F14)</f>
        <v>-</v>
      </c>
      <c r="L5" s="30" t="str">
        <f>IF(Receitas!H14=0,"-",Receitas!H14)</f>
        <v>-</v>
      </c>
      <c r="M5" s="30" t="str">
        <f>IF(Receitas!J14=0,"-",Receitas!J14)</f>
        <v>-</v>
      </c>
      <c r="N5" s="30" t="str">
        <f>IF(Receitas!L14=0,"-",Receitas!L14)</f>
        <v>-</v>
      </c>
      <c r="O5" s="29">
        <f>SUM(O3:O4)</f>
        <v>0</v>
      </c>
      <c r="Q5" s="30" t="str">
        <f>IF(OR(A5="-",I5="-"),"-",I5-A5)</f>
        <v>-</v>
      </c>
      <c r="R5" s="30" t="str">
        <f t="shared" ref="R5:V5" si="0">IF(OR(B5="-",J5="-"),"-",J5-B5)</f>
        <v>-</v>
      </c>
      <c r="S5" s="30" t="str">
        <f t="shared" si="0"/>
        <v>-</v>
      </c>
      <c r="T5" s="30" t="str">
        <f t="shared" si="0"/>
        <v>-</v>
      </c>
      <c r="U5" s="30" t="str">
        <f t="shared" si="0"/>
        <v>-</v>
      </c>
      <c r="V5" s="30" t="str">
        <f t="shared" si="0"/>
        <v>-</v>
      </c>
      <c r="W5" s="29">
        <f>SUM(W3:W4)</f>
        <v>0</v>
      </c>
    </row>
    <row r="6" spans="1:23" ht="18" customHeight="1" x14ac:dyDescent="0.25">
      <c r="A6" s="31"/>
      <c r="B6" s="31"/>
      <c r="C6" s="31"/>
      <c r="D6" s="31"/>
      <c r="E6" s="31"/>
      <c r="F6" s="31"/>
      <c r="I6" s="31"/>
      <c r="J6" s="31"/>
      <c r="K6" s="31"/>
      <c r="L6" s="31"/>
      <c r="M6" s="31"/>
      <c r="N6" s="31"/>
      <c r="Q6" s="32" t="str">
        <f>IF(OR(A5="-",I5="-"),"-",Q5/I5)</f>
        <v>-</v>
      </c>
      <c r="R6" s="32" t="str">
        <f t="shared" ref="R6:V6" si="1">IF(OR(B5="-",J5="-"),"-",R5/J5)</f>
        <v>-</v>
      </c>
      <c r="S6" s="32" t="str">
        <f t="shared" si="1"/>
        <v>-</v>
      </c>
      <c r="T6" s="32" t="str">
        <f t="shared" si="1"/>
        <v>-</v>
      </c>
      <c r="U6" s="32" t="str">
        <f t="shared" si="1"/>
        <v>-</v>
      </c>
      <c r="V6" s="32" t="str">
        <f t="shared" si="1"/>
        <v>-</v>
      </c>
    </row>
    <row r="8" spans="1:23" ht="18" customHeight="1" x14ac:dyDescent="0.25">
      <c r="A8" s="26" t="s">
        <v>35</v>
      </c>
      <c r="B8" s="26" t="s">
        <v>36</v>
      </c>
      <c r="C8" s="26" t="s">
        <v>37</v>
      </c>
      <c r="D8" s="26" t="s">
        <v>38</v>
      </c>
      <c r="E8" s="26" t="s">
        <v>39</v>
      </c>
      <c r="F8" s="26" t="s">
        <v>40</v>
      </c>
      <c r="I8" s="26" t="s">
        <v>35</v>
      </c>
      <c r="J8" s="26" t="s">
        <v>36</v>
      </c>
      <c r="K8" s="26" t="s">
        <v>37</v>
      </c>
      <c r="L8" s="26" t="s">
        <v>38</v>
      </c>
      <c r="M8" s="26" t="s">
        <v>39</v>
      </c>
      <c r="N8" s="26" t="s">
        <v>40</v>
      </c>
      <c r="Q8" s="26" t="s">
        <v>35</v>
      </c>
      <c r="R8" s="26" t="s">
        <v>36</v>
      </c>
      <c r="S8" s="26" t="s">
        <v>37</v>
      </c>
      <c r="T8" s="26" t="s">
        <v>38</v>
      </c>
      <c r="U8" s="26" t="s">
        <v>39</v>
      </c>
      <c r="V8" s="26" t="s">
        <v>40</v>
      </c>
    </row>
    <row r="9" spans="1:23" ht="18" customHeight="1" x14ac:dyDescent="0.25">
      <c r="A9" s="30" t="str">
        <f>IF('Jul''26'!B102=0,"-",'Jul''26'!B102)</f>
        <v>-</v>
      </c>
      <c r="B9" s="30" t="str">
        <f>IF('Ago''26'!B102=0,"-",'Ago''26'!B102)</f>
        <v>-</v>
      </c>
      <c r="C9" s="30" t="str">
        <f>IF('Set''26'!B102=0,"-",'Set''26'!B102)</f>
        <v>-</v>
      </c>
      <c r="D9" s="30" t="str">
        <f>IF('Out''26'!B102=0,"-",'Out''26'!B102)</f>
        <v>-</v>
      </c>
      <c r="E9" s="30" t="str">
        <f>IF('Nov''26'!B102=0,"-",'Nov''26'!B102)</f>
        <v>-</v>
      </c>
      <c r="F9" s="30" t="str">
        <f>IF('Dez''26'!B102=0,"-",'Dez''26'!B102)</f>
        <v>-</v>
      </c>
      <c r="I9" s="30" t="str">
        <f>IF(Receitas!B27=0,"-",Receitas!B27)</f>
        <v>-</v>
      </c>
      <c r="J9" s="30" t="str">
        <f>IF(Receitas!D27=0,"-",Receitas!D27)</f>
        <v>-</v>
      </c>
      <c r="K9" s="30" t="str">
        <f>IF(Receitas!F27=0,"-",Receitas!F27)</f>
        <v>-</v>
      </c>
      <c r="L9" s="30" t="str">
        <f>IF(Receitas!H27=0,"-",Receitas!H27)</f>
        <v>-</v>
      </c>
      <c r="M9" s="30" t="str">
        <f>IF(Receitas!J27=0,"-",Receitas!J27)</f>
        <v>-</v>
      </c>
      <c r="N9" s="30" t="str">
        <f>IF(Receitas!L27=0,"-",Receitas!L27)</f>
        <v>-</v>
      </c>
      <c r="Q9" s="30" t="str">
        <f>IF(OR(A9="-",I9="-"),"-",I9-A9)</f>
        <v>-</v>
      </c>
      <c r="R9" s="30" t="str">
        <f t="shared" ref="R9:V9" si="2">IF(OR(B9="-",J9="-"),"-",J9-B9)</f>
        <v>-</v>
      </c>
      <c r="S9" s="30" t="str">
        <f t="shared" si="2"/>
        <v>-</v>
      </c>
      <c r="T9" s="30" t="str">
        <f t="shared" si="2"/>
        <v>-</v>
      </c>
      <c r="U9" s="30" t="str">
        <f t="shared" si="2"/>
        <v>-</v>
      </c>
      <c r="V9" s="30" t="str">
        <f t="shared" si="2"/>
        <v>-</v>
      </c>
    </row>
    <row r="10" spans="1:23" ht="18" customHeight="1" x14ac:dyDescent="0.25">
      <c r="A10" s="31"/>
      <c r="B10" s="31"/>
      <c r="C10" s="31"/>
      <c r="D10" s="31"/>
      <c r="E10" s="31"/>
      <c r="F10" s="31"/>
      <c r="I10" s="31"/>
      <c r="J10" s="31"/>
      <c r="K10" s="31"/>
      <c r="L10" s="31"/>
      <c r="M10" s="31"/>
      <c r="N10" s="31"/>
      <c r="Q10" s="32" t="str">
        <f>IF(OR(A9="-",I9="-"),"-",Q9/I9)</f>
        <v>-</v>
      </c>
      <c r="R10" s="32" t="str">
        <f t="shared" ref="R10:V10" si="3">IF(OR(B9="-",J9="-"),"-",R9/J9)</f>
        <v>-</v>
      </c>
      <c r="S10" s="32" t="str">
        <f t="shared" si="3"/>
        <v>-</v>
      </c>
      <c r="T10" s="32" t="str">
        <f t="shared" si="3"/>
        <v>-</v>
      </c>
      <c r="U10" s="32" t="str">
        <f t="shared" si="3"/>
        <v>-</v>
      </c>
      <c r="V10" s="32" t="str">
        <f t="shared" si="3"/>
        <v>-</v>
      </c>
    </row>
    <row r="12" spans="1:23" ht="36" customHeight="1" x14ac:dyDescent="0.25">
      <c r="B12" s="33" t="s">
        <v>59</v>
      </c>
      <c r="C12" s="34">
        <f>SUM(A5:F5,A9:F9)</f>
        <v>0</v>
      </c>
      <c r="J12" s="33" t="s">
        <v>25</v>
      </c>
      <c r="K12" s="34">
        <f>SUM(I5:N5,I9:N9)</f>
        <v>0</v>
      </c>
      <c r="R12" s="33" t="s">
        <v>61</v>
      </c>
      <c r="S12" s="34">
        <f>SUM(Q5:V5,Q9:V9)</f>
        <v>0</v>
      </c>
    </row>
    <row r="14" spans="1:23" ht="36" customHeight="1" x14ac:dyDescent="0.25">
      <c r="B14" s="33" t="s">
        <v>60</v>
      </c>
      <c r="C14" s="34" t="str">
        <f>IF(C12=0,"-",C12/G5)</f>
        <v>-</v>
      </c>
      <c r="J14" s="33" t="s">
        <v>14</v>
      </c>
      <c r="K14" s="34" t="str">
        <f>IF(K12=0,"-",K12/O5)</f>
        <v>-</v>
      </c>
      <c r="R14" s="33" t="s">
        <v>62</v>
      </c>
      <c r="S14" s="34" t="str">
        <f>IF(S12=0,"-",S12/W5)</f>
        <v>-</v>
      </c>
      <c r="U14" s="33" t="s">
        <v>63</v>
      </c>
      <c r="V14" s="35" t="str">
        <f>IF(S12=0,"-",S12/K12)</f>
        <v>-</v>
      </c>
    </row>
    <row r="25" spans="1:22" ht="18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8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8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</sheetData>
  <sheetProtection algorithmName="SHA-512" hashValue="lbGD/QnZ7MWpKaLjoRQqCocA0xFjQkpF50eAKtxQvtutV7Lz9fbqUbbqWNU4PsNLEARTIIrMcgHoNlNCuPHomw==" saltValue="vra4LEeyyiv1992ZDg5RjQ==" spinCount="100000" sheet="1" formatCells="0" formatColumns="0" formatRows="0" insertColumns="0" insertRows="0" insertHyperlinks="0" deleteColumns="0" deleteRows="0" selectLockedCells="1" sort="0" autoFilter="0" pivotTables="0"/>
  <mergeCells count="3">
    <mergeCell ref="A3:F3"/>
    <mergeCell ref="I3:N3"/>
    <mergeCell ref="Q3:V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A1:V72"/>
  <sheetViews>
    <sheetView showGridLines="0" topLeftCell="A19" zoomScaleNormal="100" workbookViewId="0">
      <selection activeCell="A2" sqref="A2"/>
    </sheetView>
  </sheetViews>
  <sheetFormatPr defaultRowHeight="15" x14ac:dyDescent="0.25"/>
  <cols>
    <col min="1" max="1" width="30.7109375" customWidth="1"/>
    <col min="2" max="3" width="15.7109375" customWidth="1"/>
    <col min="4" max="4" width="5.7109375" customWidth="1"/>
    <col min="5" max="5" width="30.7109375" customWidth="1"/>
    <col min="6" max="7" width="15.7109375" customWidth="1"/>
    <col min="8" max="8" width="5.7109375" customWidth="1"/>
    <col min="9" max="9" width="30.7109375" customWidth="1"/>
    <col min="10" max="11" width="15.7109375" customWidth="1"/>
    <col min="16" max="16" width="35.7109375" customWidth="1"/>
    <col min="17" max="18" width="15.7109375" customWidth="1"/>
    <col min="37" max="37" width="10.7109375" bestFit="1" customWidth="1"/>
    <col min="39" max="39" width="9.5703125" bestFit="1" customWidth="1"/>
    <col min="40" max="40" width="10.7109375" bestFit="1" customWidth="1"/>
  </cols>
  <sheetData>
    <row r="1" spans="1:22" x14ac:dyDescent="0.25">
      <c r="A1" s="6" t="s">
        <v>54</v>
      </c>
    </row>
    <row r="2" spans="1:22" x14ac:dyDescent="0.25">
      <c r="A2" s="16"/>
      <c r="B2" s="16"/>
      <c r="C2" s="16"/>
    </row>
    <row r="3" spans="1:22" x14ac:dyDescent="0.25">
      <c r="A3" s="39" t="s">
        <v>41</v>
      </c>
      <c r="B3" s="40"/>
      <c r="C3" s="41"/>
      <c r="E3" s="39" t="s">
        <v>42</v>
      </c>
      <c r="F3" s="39"/>
      <c r="G3" s="39"/>
      <c r="I3" s="39" t="s">
        <v>43</v>
      </c>
      <c r="J3" s="39"/>
      <c r="K3" s="39"/>
      <c r="P3" s="42" t="s">
        <v>57</v>
      </c>
      <c r="Q3" s="42"/>
      <c r="R3" s="42"/>
      <c r="U3" s="16"/>
      <c r="V3" s="16"/>
    </row>
    <row r="4" spans="1:22" x14ac:dyDescent="0.25">
      <c r="A4" s="4" t="s">
        <v>1</v>
      </c>
      <c r="B4" s="4" t="s">
        <v>0</v>
      </c>
      <c r="C4" s="4" t="s">
        <v>13</v>
      </c>
      <c r="E4" s="4" t="s">
        <v>1</v>
      </c>
      <c r="F4" s="4" t="s">
        <v>0</v>
      </c>
      <c r="G4" s="4" t="s">
        <v>13</v>
      </c>
      <c r="I4" s="4" t="s">
        <v>1</v>
      </c>
      <c r="J4" s="4" t="s">
        <v>0</v>
      </c>
      <c r="K4" s="4" t="s">
        <v>13</v>
      </c>
      <c r="P4" s="4" t="s">
        <v>1</v>
      </c>
      <c r="Q4" s="4" t="s">
        <v>0</v>
      </c>
      <c r="R4" s="4" t="s">
        <v>13</v>
      </c>
      <c r="U4" s="16"/>
      <c r="V4" s="16"/>
    </row>
    <row r="5" spans="1:22" x14ac:dyDescent="0.25">
      <c r="A5" s="3" t="s">
        <v>3</v>
      </c>
      <c r="B5" s="5">
        <f>'Jan''26'!J3</f>
        <v>0</v>
      </c>
      <c r="C5" s="11" t="str">
        <f>IF($B$18=0,"-",B5/$B$18)</f>
        <v>-</v>
      </c>
      <c r="E5" s="3" t="s">
        <v>3</v>
      </c>
      <c r="F5" s="5">
        <f>'Fev''26'!J3</f>
        <v>0</v>
      </c>
      <c r="G5" s="11" t="str">
        <f>IF($F$18=0,"-",F5/$F$18)</f>
        <v>-</v>
      </c>
      <c r="I5" s="3" t="s">
        <v>3</v>
      </c>
      <c r="J5" s="5">
        <f>'Mar''26'!J3</f>
        <v>0</v>
      </c>
      <c r="K5" s="11" t="str">
        <f>IF($J$18=0,"-",J5/$J$18)</f>
        <v>-</v>
      </c>
      <c r="P5" s="3" t="s">
        <v>3</v>
      </c>
      <c r="Q5" s="5">
        <f t="shared" ref="Q5:Q16" si="0">SUM(B5,F5,J5,B23,F23,J23,B41,F41,J41,B59,F59,J59)</f>
        <v>0</v>
      </c>
      <c r="R5" s="11" t="str">
        <f>IF(Q5=0,"-",Q5/$Q$18)</f>
        <v>-</v>
      </c>
      <c r="U5" s="16"/>
      <c r="V5" s="16"/>
    </row>
    <row r="6" spans="1:22" x14ac:dyDescent="0.25">
      <c r="A6" s="3" t="s">
        <v>23</v>
      </c>
      <c r="B6" s="5">
        <f>'Jan''26'!J4</f>
        <v>0</v>
      </c>
      <c r="C6" s="11" t="str">
        <f t="shared" ref="C6:C16" si="1">IF($B$18=0,"-",B6/$B$18)</f>
        <v>-</v>
      </c>
      <c r="E6" s="3" t="s">
        <v>23</v>
      </c>
      <c r="F6" s="5">
        <f>'Fev''26'!J4</f>
        <v>0</v>
      </c>
      <c r="G6" s="11" t="str">
        <f t="shared" ref="G6:G16" si="2">IF($F$18=0,"-",F6/$F$18)</f>
        <v>-</v>
      </c>
      <c r="I6" s="3" t="s">
        <v>23</v>
      </c>
      <c r="J6" s="5">
        <f>'Mar''26'!J4</f>
        <v>0</v>
      </c>
      <c r="K6" s="11" t="str">
        <f t="shared" ref="K6:K16" si="3">IF($J$18=0,"-",J6/$J$18)</f>
        <v>-</v>
      </c>
      <c r="P6" s="3" t="s">
        <v>23</v>
      </c>
      <c r="Q6" s="5">
        <f t="shared" si="0"/>
        <v>0</v>
      </c>
      <c r="R6" s="11" t="str">
        <f t="shared" ref="R6:R16" si="4">IF(Q6=0,"-",Q6/$Q$18)</f>
        <v>-</v>
      </c>
      <c r="U6" s="16"/>
      <c r="V6" s="16"/>
    </row>
    <row r="7" spans="1:22" x14ac:dyDescent="0.25">
      <c r="A7" s="3" t="s">
        <v>20</v>
      </c>
      <c r="B7" s="5">
        <f>'Jan''26'!J5</f>
        <v>0</v>
      </c>
      <c r="C7" s="11" t="str">
        <f t="shared" si="1"/>
        <v>-</v>
      </c>
      <c r="E7" s="3" t="s">
        <v>20</v>
      </c>
      <c r="F7" s="5">
        <f>'Fev''26'!J5</f>
        <v>0</v>
      </c>
      <c r="G7" s="11" t="str">
        <f t="shared" si="2"/>
        <v>-</v>
      </c>
      <c r="I7" s="3" t="s">
        <v>20</v>
      </c>
      <c r="J7" s="5">
        <f>'Mar''26'!J5</f>
        <v>0</v>
      </c>
      <c r="K7" s="11" t="str">
        <f t="shared" si="3"/>
        <v>-</v>
      </c>
      <c r="P7" s="3" t="s">
        <v>20</v>
      </c>
      <c r="Q7" s="5">
        <f t="shared" si="0"/>
        <v>0</v>
      </c>
      <c r="R7" s="11" t="str">
        <f t="shared" si="4"/>
        <v>-</v>
      </c>
      <c r="U7" s="16"/>
      <c r="V7" s="16"/>
    </row>
    <row r="8" spans="1:22" x14ac:dyDescent="0.25">
      <c r="A8" s="3" t="s">
        <v>56</v>
      </c>
      <c r="B8" s="5">
        <f>'Jan''26'!J6</f>
        <v>0</v>
      </c>
      <c r="C8" s="11" t="str">
        <f t="shared" si="1"/>
        <v>-</v>
      </c>
      <c r="E8" s="3" t="s">
        <v>56</v>
      </c>
      <c r="F8" s="5">
        <f>'Fev''26'!J6</f>
        <v>0</v>
      </c>
      <c r="G8" s="11" t="str">
        <f t="shared" si="2"/>
        <v>-</v>
      </c>
      <c r="I8" s="3" t="s">
        <v>56</v>
      </c>
      <c r="J8" s="5">
        <f>'Mar''26'!J6</f>
        <v>0</v>
      </c>
      <c r="K8" s="11" t="str">
        <f t="shared" si="3"/>
        <v>-</v>
      </c>
      <c r="P8" s="3" t="s">
        <v>56</v>
      </c>
      <c r="Q8" s="5">
        <f t="shared" si="0"/>
        <v>0</v>
      </c>
      <c r="R8" s="11" t="str">
        <f t="shared" si="4"/>
        <v>-</v>
      </c>
      <c r="U8" s="16"/>
      <c r="V8" s="16"/>
    </row>
    <row r="9" spans="1:22" x14ac:dyDescent="0.25">
      <c r="A9" s="3" t="s">
        <v>2</v>
      </c>
      <c r="B9" s="5">
        <f>'Jan''26'!J7</f>
        <v>0</v>
      </c>
      <c r="C9" s="11" t="str">
        <f t="shared" si="1"/>
        <v>-</v>
      </c>
      <c r="E9" s="3" t="s">
        <v>2</v>
      </c>
      <c r="F9" s="5">
        <f>'Fev''26'!J7</f>
        <v>0</v>
      </c>
      <c r="G9" s="11" t="str">
        <f t="shared" si="2"/>
        <v>-</v>
      </c>
      <c r="I9" s="3" t="s">
        <v>2</v>
      </c>
      <c r="J9" s="5">
        <f>'Mar''26'!J7</f>
        <v>0</v>
      </c>
      <c r="K9" s="11" t="str">
        <f t="shared" si="3"/>
        <v>-</v>
      </c>
      <c r="P9" s="3" t="s">
        <v>2</v>
      </c>
      <c r="Q9" s="5">
        <f t="shared" si="0"/>
        <v>0</v>
      </c>
      <c r="R9" s="11" t="str">
        <f t="shared" si="4"/>
        <v>-</v>
      </c>
      <c r="U9" s="16"/>
      <c r="V9" s="16"/>
    </row>
    <row r="10" spans="1:22" x14ac:dyDescent="0.25">
      <c r="A10" s="3" t="s">
        <v>4</v>
      </c>
      <c r="B10" s="5">
        <f>'Jan''26'!J8</f>
        <v>0</v>
      </c>
      <c r="C10" s="11" t="str">
        <f t="shared" si="1"/>
        <v>-</v>
      </c>
      <c r="E10" s="3" t="s">
        <v>4</v>
      </c>
      <c r="F10" s="5">
        <f>'Fev''26'!J8</f>
        <v>0</v>
      </c>
      <c r="G10" s="11" t="str">
        <f t="shared" si="2"/>
        <v>-</v>
      </c>
      <c r="I10" s="3" t="s">
        <v>4</v>
      </c>
      <c r="J10" s="5">
        <f>'Mar''26'!J8</f>
        <v>0</v>
      </c>
      <c r="K10" s="11" t="str">
        <f t="shared" si="3"/>
        <v>-</v>
      </c>
      <c r="P10" s="3" t="s">
        <v>4</v>
      </c>
      <c r="Q10" s="5">
        <f t="shared" si="0"/>
        <v>0</v>
      </c>
      <c r="R10" s="11" t="str">
        <f t="shared" si="4"/>
        <v>-</v>
      </c>
      <c r="U10" s="16"/>
      <c r="V10" s="16"/>
    </row>
    <row r="11" spans="1:22" x14ac:dyDescent="0.25">
      <c r="A11" s="3" t="s">
        <v>22</v>
      </c>
      <c r="B11" s="5">
        <f>'Jan''26'!J9</f>
        <v>0</v>
      </c>
      <c r="C11" s="11" t="str">
        <f t="shared" si="1"/>
        <v>-</v>
      </c>
      <c r="E11" s="3" t="s">
        <v>22</v>
      </c>
      <c r="F11" s="5">
        <f>'Fev''26'!J9</f>
        <v>0</v>
      </c>
      <c r="G11" s="11" t="str">
        <f t="shared" si="2"/>
        <v>-</v>
      </c>
      <c r="I11" s="3" t="s">
        <v>22</v>
      </c>
      <c r="J11" s="5">
        <f>'Mar''26'!J9</f>
        <v>0</v>
      </c>
      <c r="K11" s="11" t="str">
        <f t="shared" si="3"/>
        <v>-</v>
      </c>
      <c r="P11" s="3" t="s">
        <v>22</v>
      </c>
      <c r="Q11" s="5">
        <f t="shared" si="0"/>
        <v>0</v>
      </c>
      <c r="R11" s="11" t="str">
        <f t="shared" si="4"/>
        <v>-</v>
      </c>
      <c r="U11" s="16"/>
      <c r="V11" s="16"/>
    </row>
    <row r="12" spans="1:22" x14ac:dyDescent="0.25">
      <c r="A12" s="3" t="s">
        <v>21</v>
      </c>
      <c r="B12" s="5">
        <f>'Jan''26'!J10</f>
        <v>0</v>
      </c>
      <c r="C12" s="11" t="str">
        <f t="shared" si="1"/>
        <v>-</v>
      </c>
      <c r="E12" s="3" t="s">
        <v>21</v>
      </c>
      <c r="F12" s="5">
        <f>'Fev''26'!J10</f>
        <v>0</v>
      </c>
      <c r="G12" s="11" t="str">
        <f t="shared" si="2"/>
        <v>-</v>
      </c>
      <c r="I12" s="3" t="s">
        <v>21</v>
      </c>
      <c r="J12" s="5">
        <f>'Mar''26'!J10</f>
        <v>0</v>
      </c>
      <c r="K12" s="11" t="str">
        <f t="shared" si="3"/>
        <v>-</v>
      </c>
      <c r="P12" s="3" t="s">
        <v>21</v>
      </c>
      <c r="Q12" s="5">
        <f t="shared" si="0"/>
        <v>0</v>
      </c>
      <c r="R12" s="11" t="str">
        <f t="shared" si="4"/>
        <v>-</v>
      </c>
      <c r="U12" s="16"/>
      <c r="V12" s="16"/>
    </row>
    <row r="13" spans="1:22" x14ac:dyDescent="0.25">
      <c r="A13" s="3" t="s">
        <v>55</v>
      </c>
      <c r="B13" s="5">
        <f>'Jan''26'!J11</f>
        <v>0</v>
      </c>
      <c r="C13" s="11" t="str">
        <f t="shared" si="1"/>
        <v>-</v>
      </c>
      <c r="E13" s="3" t="s">
        <v>55</v>
      </c>
      <c r="F13" s="5">
        <f>'Fev''26'!J11</f>
        <v>0</v>
      </c>
      <c r="G13" s="11" t="str">
        <f t="shared" si="2"/>
        <v>-</v>
      </c>
      <c r="I13" s="3" t="s">
        <v>55</v>
      </c>
      <c r="J13" s="5">
        <f>'Mar''26'!J11</f>
        <v>0</v>
      </c>
      <c r="K13" s="11" t="str">
        <f t="shared" si="3"/>
        <v>-</v>
      </c>
      <c r="P13" s="3" t="s">
        <v>55</v>
      </c>
      <c r="Q13" s="5">
        <f t="shared" si="0"/>
        <v>0</v>
      </c>
      <c r="R13" s="11" t="str">
        <f t="shared" si="4"/>
        <v>-</v>
      </c>
      <c r="U13" s="16"/>
      <c r="V13" s="16"/>
    </row>
    <row r="14" spans="1:22" x14ac:dyDescent="0.25">
      <c r="A14" s="3" t="s">
        <v>11</v>
      </c>
      <c r="B14" s="5">
        <f>'Jan''26'!J12</f>
        <v>0</v>
      </c>
      <c r="C14" s="11" t="str">
        <f t="shared" si="1"/>
        <v>-</v>
      </c>
      <c r="E14" s="3" t="s">
        <v>11</v>
      </c>
      <c r="F14" s="5">
        <f>'Fev''26'!J12</f>
        <v>0</v>
      </c>
      <c r="G14" s="11" t="str">
        <f t="shared" si="2"/>
        <v>-</v>
      </c>
      <c r="I14" s="3" t="s">
        <v>11</v>
      </c>
      <c r="J14" s="5">
        <f>'Mar''26'!J12</f>
        <v>0</v>
      </c>
      <c r="K14" s="11" t="str">
        <f t="shared" si="3"/>
        <v>-</v>
      </c>
      <c r="P14" s="3" t="s">
        <v>11</v>
      </c>
      <c r="Q14" s="5">
        <f t="shared" si="0"/>
        <v>0</v>
      </c>
      <c r="R14" s="11" t="str">
        <f t="shared" si="4"/>
        <v>-</v>
      </c>
      <c r="U14" s="16"/>
      <c r="V14" s="16"/>
    </row>
    <row r="15" spans="1:22" x14ac:dyDescent="0.25">
      <c r="A15" s="3" t="s">
        <v>5</v>
      </c>
      <c r="B15" s="5">
        <f>'Jan''26'!J13</f>
        <v>0</v>
      </c>
      <c r="C15" s="11" t="str">
        <f t="shared" si="1"/>
        <v>-</v>
      </c>
      <c r="E15" s="3" t="s">
        <v>5</v>
      </c>
      <c r="F15" s="5">
        <f>'Fev''26'!J13</f>
        <v>0</v>
      </c>
      <c r="G15" s="11" t="str">
        <f t="shared" si="2"/>
        <v>-</v>
      </c>
      <c r="I15" s="3" t="s">
        <v>5</v>
      </c>
      <c r="J15" s="5">
        <f>'Mar''26'!J13</f>
        <v>0</v>
      </c>
      <c r="K15" s="11" t="str">
        <f t="shared" si="3"/>
        <v>-</v>
      </c>
      <c r="P15" s="3" t="s">
        <v>5</v>
      </c>
      <c r="Q15" s="5">
        <f t="shared" si="0"/>
        <v>0</v>
      </c>
      <c r="R15" s="11" t="str">
        <f t="shared" si="4"/>
        <v>-</v>
      </c>
      <c r="U15" s="16"/>
      <c r="V15" s="16"/>
    </row>
    <row r="16" spans="1:22" x14ac:dyDescent="0.25">
      <c r="A16" s="3" t="s">
        <v>24</v>
      </c>
      <c r="B16" s="5">
        <f>'Jan''26'!J14</f>
        <v>0</v>
      </c>
      <c r="C16" s="11" t="str">
        <f t="shared" si="1"/>
        <v>-</v>
      </c>
      <c r="E16" s="3" t="s">
        <v>24</v>
      </c>
      <c r="F16" s="5">
        <f>'Fev''26'!J14</f>
        <v>0</v>
      </c>
      <c r="G16" s="11" t="str">
        <f t="shared" si="2"/>
        <v>-</v>
      </c>
      <c r="I16" s="3" t="s">
        <v>24</v>
      </c>
      <c r="J16" s="5">
        <f>'Mar''26'!J14</f>
        <v>0</v>
      </c>
      <c r="K16" s="11" t="str">
        <f t="shared" si="3"/>
        <v>-</v>
      </c>
      <c r="P16" s="3" t="s">
        <v>24</v>
      </c>
      <c r="Q16" s="5">
        <f t="shared" si="0"/>
        <v>0</v>
      </c>
      <c r="R16" s="11" t="str">
        <f t="shared" si="4"/>
        <v>-</v>
      </c>
      <c r="U16" s="16"/>
      <c r="V16" s="16"/>
    </row>
    <row r="18" spans="1:18" x14ac:dyDescent="0.25">
      <c r="A18" s="4" t="s">
        <v>12</v>
      </c>
      <c r="B18" s="5">
        <f>SUM(B5:B16)</f>
        <v>0</v>
      </c>
      <c r="C18" s="12">
        <f>SUM(C5:C16)</f>
        <v>0</v>
      </c>
      <c r="E18" s="4" t="s">
        <v>12</v>
      </c>
      <c r="F18" s="5">
        <f>SUM(F5:F16)</f>
        <v>0</v>
      </c>
      <c r="G18" s="12">
        <f>SUM(G5:G16)</f>
        <v>0</v>
      </c>
      <c r="I18" s="4" t="s">
        <v>12</v>
      </c>
      <c r="J18" s="5">
        <f>SUM(J5:J16)</f>
        <v>0</v>
      </c>
      <c r="K18" s="12">
        <f>SUM(K5:K16)</f>
        <v>0</v>
      </c>
      <c r="P18" s="4" t="s">
        <v>12</v>
      </c>
      <c r="Q18" s="5">
        <f>SUM(Q5:Q16)</f>
        <v>0</v>
      </c>
      <c r="R18" s="12">
        <f>SUM(R5:R16)</f>
        <v>0</v>
      </c>
    </row>
    <row r="21" spans="1:18" x14ac:dyDescent="0.25">
      <c r="A21" s="39" t="s">
        <v>44</v>
      </c>
      <c r="B21" s="39"/>
      <c r="C21" s="39"/>
      <c r="E21" s="39" t="s">
        <v>45</v>
      </c>
      <c r="F21" s="39"/>
      <c r="G21" s="39"/>
      <c r="I21" s="39" t="s">
        <v>46</v>
      </c>
      <c r="J21" s="39"/>
      <c r="K21" s="39"/>
    </row>
    <row r="22" spans="1:18" x14ac:dyDescent="0.25">
      <c r="A22" s="4" t="s">
        <v>1</v>
      </c>
      <c r="B22" s="4" t="s">
        <v>0</v>
      </c>
      <c r="C22" s="4" t="s">
        <v>13</v>
      </c>
      <c r="E22" s="4" t="s">
        <v>1</v>
      </c>
      <c r="F22" s="4" t="s">
        <v>0</v>
      </c>
      <c r="G22" s="4" t="s">
        <v>13</v>
      </c>
      <c r="I22" s="4" t="s">
        <v>1</v>
      </c>
      <c r="J22" s="4" t="s">
        <v>0</v>
      </c>
      <c r="K22" s="4" t="s">
        <v>13</v>
      </c>
    </row>
    <row r="23" spans="1:18" x14ac:dyDescent="0.25">
      <c r="A23" s="3" t="s">
        <v>3</v>
      </c>
      <c r="B23" s="5">
        <f>'Abr''26'!J3</f>
        <v>0</v>
      </c>
      <c r="C23" s="11" t="str">
        <f>IF($B$36=0,"-",B23/$B$36)</f>
        <v>-</v>
      </c>
      <c r="E23" s="3" t="s">
        <v>3</v>
      </c>
      <c r="F23" s="5">
        <f>'Mai''26'!J3</f>
        <v>0</v>
      </c>
      <c r="G23" s="11" t="str">
        <f>IF($F$36=0,"-",F23/$F$36)</f>
        <v>-</v>
      </c>
      <c r="I23" s="3" t="s">
        <v>3</v>
      </c>
      <c r="J23" s="5">
        <f>'Jun''26'!J3</f>
        <v>0</v>
      </c>
      <c r="K23" s="11" t="str">
        <f>IF($J$36=0,"-",J23/$J$36)</f>
        <v>-</v>
      </c>
    </row>
    <row r="24" spans="1:18" x14ac:dyDescent="0.25">
      <c r="A24" s="3" t="s">
        <v>23</v>
      </c>
      <c r="B24" s="5">
        <f>'Abr''26'!J4</f>
        <v>0</v>
      </c>
      <c r="C24" s="11" t="str">
        <f t="shared" ref="C24:C34" si="5">IF($B$36=0,"-",B24/$B$36)</f>
        <v>-</v>
      </c>
      <c r="E24" s="3" t="s">
        <v>23</v>
      </c>
      <c r="F24" s="5">
        <f>'Mai''26'!J4</f>
        <v>0</v>
      </c>
      <c r="G24" s="11" t="str">
        <f t="shared" ref="G24:G34" si="6">IF($F$36=0,"-",F24/$F$36)</f>
        <v>-</v>
      </c>
      <c r="I24" s="3" t="s">
        <v>23</v>
      </c>
      <c r="J24" s="5">
        <f>'Jun''26'!J4</f>
        <v>0</v>
      </c>
      <c r="K24" s="11" t="str">
        <f t="shared" ref="K24:K34" si="7">IF($J$36=0,"-",J24/$J$36)</f>
        <v>-</v>
      </c>
    </row>
    <row r="25" spans="1:18" x14ac:dyDescent="0.25">
      <c r="A25" s="3" t="s">
        <v>20</v>
      </c>
      <c r="B25" s="5">
        <f>'Abr''26'!J5</f>
        <v>0</v>
      </c>
      <c r="C25" s="11" t="str">
        <f t="shared" si="5"/>
        <v>-</v>
      </c>
      <c r="E25" s="3" t="s">
        <v>20</v>
      </c>
      <c r="F25" s="5">
        <f>'Mai''26'!J5</f>
        <v>0</v>
      </c>
      <c r="G25" s="11" t="str">
        <f t="shared" si="6"/>
        <v>-</v>
      </c>
      <c r="I25" s="3" t="s">
        <v>20</v>
      </c>
      <c r="J25" s="5">
        <f>'Jun''26'!J5</f>
        <v>0</v>
      </c>
      <c r="K25" s="11" t="str">
        <f t="shared" si="7"/>
        <v>-</v>
      </c>
    </row>
    <row r="26" spans="1:18" x14ac:dyDescent="0.25">
      <c r="A26" s="3" t="s">
        <v>56</v>
      </c>
      <c r="B26" s="5">
        <f>'Abr''26'!J6</f>
        <v>0</v>
      </c>
      <c r="C26" s="11" t="str">
        <f t="shared" si="5"/>
        <v>-</v>
      </c>
      <c r="E26" s="3" t="s">
        <v>56</v>
      </c>
      <c r="F26" s="5">
        <f>'Mai''26'!J6</f>
        <v>0</v>
      </c>
      <c r="G26" s="11" t="str">
        <f t="shared" si="6"/>
        <v>-</v>
      </c>
      <c r="I26" s="3" t="s">
        <v>56</v>
      </c>
      <c r="J26" s="5">
        <f>'Jun''26'!J6</f>
        <v>0</v>
      </c>
      <c r="K26" s="11" t="str">
        <f t="shared" si="7"/>
        <v>-</v>
      </c>
    </row>
    <row r="27" spans="1:18" x14ac:dyDescent="0.25">
      <c r="A27" s="3" t="s">
        <v>2</v>
      </c>
      <c r="B27" s="5">
        <f>'Abr''26'!J7</f>
        <v>0</v>
      </c>
      <c r="C27" s="11" t="str">
        <f t="shared" si="5"/>
        <v>-</v>
      </c>
      <c r="E27" s="3" t="s">
        <v>2</v>
      </c>
      <c r="F27" s="5">
        <f>'Mai''26'!J7</f>
        <v>0</v>
      </c>
      <c r="G27" s="11" t="str">
        <f t="shared" si="6"/>
        <v>-</v>
      </c>
      <c r="I27" s="3" t="s">
        <v>2</v>
      </c>
      <c r="J27" s="5">
        <f>'Jun''26'!J7</f>
        <v>0</v>
      </c>
      <c r="K27" s="11" t="str">
        <f t="shared" si="7"/>
        <v>-</v>
      </c>
    </row>
    <row r="28" spans="1:18" x14ac:dyDescent="0.25">
      <c r="A28" s="3" t="s">
        <v>4</v>
      </c>
      <c r="B28" s="5">
        <f>'Abr''26'!J8</f>
        <v>0</v>
      </c>
      <c r="C28" s="11" t="str">
        <f t="shared" si="5"/>
        <v>-</v>
      </c>
      <c r="E28" s="3" t="s">
        <v>4</v>
      </c>
      <c r="F28" s="5">
        <f>'Mai''26'!J8</f>
        <v>0</v>
      </c>
      <c r="G28" s="11" t="str">
        <f t="shared" si="6"/>
        <v>-</v>
      </c>
      <c r="I28" s="3" t="s">
        <v>4</v>
      </c>
      <c r="J28" s="5">
        <f>'Jun''26'!J8</f>
        <v>0</v>
      </c>
      <c r="K28" s="11" t="str">
        <f t="shared" si="7"/>
        <v>-</v>
      </c>
    </row>
    <row r="29" spans="1:18" x14ac:dyDescent="0.25">
      <c r="A29" s="3" t="s">
        <v>22</v>
      </c>
      <c r="B29" s="5">
        <f>'Abr''26'!J9</f>
        <v>0</v>
      </c>
      <c r="C29" s="11" t="str">
        <f t="shared" si="5"/>
        <v>-</v>
      </c>
      <c r="E29" s="3" t="s">
        <v>22</v>
      </c>
      <c r="F29" s="5">
        <f>'Mai''26'!J9</f>
        <v>0</v>
      </c>
      <c r="G29" s="11" t="str">
        <f t="shared" si="6"/>
        <v>-</v>
      </c>
      <c r="I29" s="3" t="s">
        <v>22</v>
      </c>
      <c r="J29" s="5">
        <f>'Jun''26'!J9</f>
        <v>0</v>
      </c>
      <c r="K29" s="11" t="str">
        <f t="shared" si="7"/>
        <v>-</v>
      </c>
    </row>
    <row r="30" spans="1:18" x14ac:dyDescent="0.25">
      <c r="A30" s="3" t="s">
        <v>21</v>
      </c>
      <c r="B30" s="5">
        <f>'Abr''26'!J10</f>
        <v>0</v>
      </c>
      <c r="C30" s="11" t="str">
        <f t="shared" si="5"/>
        <v>-</v>
      </c>
      <c r="E30" s="3" t="s">
        <v>21</v>
      </c>
      <c r="F30" s="5">
        <f>'Mai''26'!J10</f>
        <v>0</v>
      </c>
      <c r="G30" s="11" t="str">
        <f t="shared" si="6"/>
        <v>-</v>
      </c>
      <c r="I30" s="3" t="s">
        <v>21</v>
      </c>
      <c r="J30" s="5">
        <f>'Jun''26'!J10</f>
        <v>0</v>
      </c>
      <c r="K30" s="11" t="str">
        <f t="shared" si="7"/>
        <v>-</v>
      </c>
    </row>
    <row r="31" spans="1:18" x14ac:dyDescent="0.25">
      <c r="A31" s="3" t="s">
        <v>55</v>
      </c>
      <c r="B31" s="5">
        <f>'Abr''26'!J11</f>
        <v>0</v>
      </c>
      <c r="C31" s="11" t="str">
        <f t="shared" si="5"/>
        <v>-</v>
      </c>
      <c r="E31" s="3" t="s">
        <v>55</v>
      </c>
      <c r="F31" s="5">
        <f>'Mai''26'!J11</f>
        <v>0</v>
      </c>
      <c r="G31" s="11" t="str">
        <f t="shared" si="6"/>
        <v>-</v>
      </c>
      <c r="I31" s="3" t="s">
        <v>55</v>
      </c>
      <c r="J31" s="5">
        <f>'Jun''26'!J11</f>
        <v>0</v>
      </c>
      <c r="K31" s="11" t="str">
        <f t="shared" si="7"/>
        <v>-</v>
      </c>
    </row>
    <row r="32" spans="1:18" x14ac:dyDescent="0.25">
      <c r="A32" s="3" t="s">
        <v>11</v>
      </c>
      <c r="B32" s="5">
        <f>'Abr''26'!J12</f>
        <v>0</v>
      </c>
      <c r="C32" s="11" t="str">
        <f t="shared" si="5"/>
        <v>-</v>
      </c>
      <c r="E32" s="3" t="s">
        <v>11</v>
      </c>
      <c r="F32" s="5">
        <f>'Mai''26'!J12</f>
        <v>0</v>
      </c>
      <c r="G32" s="11" t="str">
        <f t="shared" si="6"/>
        <v>-</v>
      </c>
      <c r="I32" s="3" t="s">
        <v>11</v>
      </c>
      <c r="J32" s="5">
        <f>'Jun''26'!J12</f>
        <v>0</v>
      </c>
      <c r="K32" s="11" t="str">
        <f t="shared" si="7"/>
        <v>-</v>
      </c>
    </row>
    <row r="33" spans="1:11" x14ac:dyDescent="0.25">
      <c r="A33" s="3" t="s">
        <v>5</v>
      </c>
      <c r="B33" s="5">
        <f>'Abr''26'!J13</f>
        <v>0</v>
      </c>
      <c r="C33" s="11" t="str">
        <f t="shared" si="5"/>
        <v>-</v>
      </c>
      <c r="E33" s="3" t="s">
        <v>5</v>
      </c>
      <c r="F33" s="5">
        <f>'Mai''26'!J13</f>
        <v>0</v>
      </c>
      <c r="G33" s="11" t="str">
        <f t="shared" si="6"/>
        <v>-</v>
      </c>
      <c r="I33" s="3" t="s">
        <v>5</v>
      </c>
      <c r="J33" s="5">
        <f>'Jun''26'!J13</f>
        <v>0</v>
      </c>
      <c r="K33" s="11" t="str">
        <f t="shared" si="7"/>
        <v>-</v>
      </c>
    </row>
    <row r="34" spans="1:11" x14ac:dyDescent="0.25">
      <c r="A34" s="3" t="s">
        <v>24</v>
      </c>
      <c r="B34" s="5">
        <f>'Abr''26'!J14</f>
        <v>0</v>
      </c>
      <c r="C34" s="11" t="str">
        <f t="shared" si="5"/>
        <v>-</v>
      </c>
      <c r="E34" s="3" t="s">
        <v>24</v>
      </c>
      <c r="F34" s="5">
        <f>'Mai''26'!J14</f>
        <v>0</v>
      </c>
      <c r="G34" s="11" t="str">
        <f t="shared" si="6"/>
        <v>-</v>
      </c>
      <c r="I34" s="3" t="s">
        <v>24</v>
      </c>
      <c r="J34" s="5">
        <f>'Jun''26'!J14</f>
        <v>0</v>
      </c>
      <c r="K34" s="11" t="str">
        <f t="shared" si="7"/>
        <v>-</v>
      </c>
    </row>
    <row r="36" spans="1:11" x14ac:dyDescent="0.25">
      <c r="A36" s="4" t="s">
        <v>12</v>
      </c>
      <c r="B36" s="5">
        <f>SUM(B23:B34)</f>
        <v>0</v>
      </c>
      <c r="C36" s="12">
        <f>SUM(C23:C34)</f>
        <v>0</v>
      </c>
      <c r="E36" s="4" t="s">
        <v>12</v>
      </c>
      <c r="F36" s="5">
        <f>SUM(F23:F34)</f>
        <v>0</v>
      </c>
      <c r="G36" s="12">
        <f>SUM(G23:G34)</f>
        <v>0</v>
      </c>
      <c r="I36" s="4" t="s">
        <v>12</v>
      </c>
      <c r="J36" s="5">
        <f>SUM(J23:J34)</f>
        <v>0</v>
      </c>
      <c r="K36" s="12">
        <f>SUM(K23:K34)</f>
        <v>0</v>
      </c>
    </row>
    <row r="39" spans="1:11" x14ac:dyDescent="0.25">
      <c r="A39" s="39" t="s">
        <v>49</v>
      </c>
      <c r="B39" s="39"/>
      <c r="C39" s="39"/>
      <c r="E39" s="39" t="s">
        <v>48</v>
      </c>
      <c r="F39" s="39"/>
      <c r="G39" s="39"/>
      <c r="I39" s="39" t="s">
        <v>47</v>
      </c>
      <c r="J39" s="39"/>
      <c r="K39" s="39"/>
    </row>
    <row r="40" spans="1:11" x14ac:dyDescent="0.25">
      <c r="A40" s="4" t="s">
        <v>1</v>
      </c>
      <c r="B40" s="4" t="s">
        <v>0</v>
      </c>
      <c r="C40" s="4" t="s">
        <v>13</v>
      </c>
      <c r="E40" s="4" t="s">
        <v>1</v>
      </c>
      <c r="F40" s="4" t="s">
        <v>0</v>
      </c>
      <c r="G40" s="4" t="s">
        <v>13</v>
      </c>
      <c r="I40" s="4" t="s">
        <v>1</v>
      </c>
      <c r="J40" s="4" t="s">
        <v>0</v>
      </c>
      <c r="K40" s="4" t="s">
        <v>13</v>
      </c>
    </row>
    <row r="41" spans="1:11" x14ac:dyDescent="0.25">
      <c r="A41" s="3" t="s">
        <v>3</v>
      </c>
      <c r="B41" s="5">
        <f>'Jul''26'!J3</f>
        <v>0</v>
      </c>
      <c r="C41" s="11" t="str">
        <f>IF($B$54=0,"-",B41/$B$54)</f>
        <v>-</v>
      </c>
      <c r="E41" s="3" t="s">
        <v>3</v>
      </c>
      <c r="F41" s="5">
        <f>'Ago''26'!J3</f>
        <v>0</v>
      </c>
      <c r="G41" s="11" t="str">
        <f>IF($F$54=0,"-",F41/$F$54)</f>
        <v>-</v>
      </c>
      <c r="I41" s="3" t="s">
        <v>3</v>
      </c>
      <c r="J41" s="5">
        <f>'Set''26'!J3</f>
        <v>0</v>
      </c>
      <c r="K41" s="11" t="str">
        <f>IF($J$54=0,"-",J41/$J$54)</f>
        <v>-</v>
      </c>
    </row>
    <row r="42" spans="1:11" x14ac:dyDescent="0.25">
      <c r="A42" s="3" t="s">
        <v>23</v>
      </c>
      <c r="B42" s="5">
        <f>'Jul''26'!J4</f>
        <v>0</v>
      </c>
      <c r="C42" s="11" t="str">
        <f t="shared" ref="C42:C52" si="8">IF($B$54=0,"-",B42/$B$54)</f>
        <v>-</v>
      </c>
      <c r="E42" s="3" t="s">
        <v>23</v>
      </c>
      <c r="F42" s="5">
        <f>'Ago''26'!J4</f>
        <v>0</v>
      </c>
      <c r="G42" s="11" t="str">
        <f>IF($F$54=0,"-",F42/$F$54)</f>
        <v>-</v>
      </c>
      <c r="I42" s="3" t="s">
        <v>23</v>
      </c>
      <c r="J42" s="5">
        <f>'Set''26'!J4</f>
        <v>0</v>
      </c>
      <c r="K42" s="11" t="str">
        <f t="shared" ref="K42:K52" si="9">IF($J$54=0,"-",J42/$J$54)</f>
        <v>-</v>
      </c>
    </row>
    <row r="43" spans="1:11" x14ac:dyDescent="0.25">
      <c r="A43" s="3" t="s">
        <v>20</v>
      </c>
      <c r="B43" s="5">
        <f>'Jul''26'!J5</f>
        <v>0</v>
      </c>
      <c r="C43" s="11" t="str">
        <f t="shared" si="8"/>
        <v>-</v>
      </c>
      <c r="E43" s="3" t="s">
        <v>20</v>
      </c>
      <c r="F43" s="5">
        <f>'Ago''26'!J5</f>
        <v>0</v>
      </c>
      <c r="G43" s="11" t="str">
        <f t="shared" ref="G43:G52" si="10">IF($F$54=0,"-",F43/$F$54)</f>
        <v>-</v>
      </c>
      <c r="I43" s="3" t="s">
        <v>20</v>
      </c>
      <c r="J43" s="5">
        <f>'Set''26'!J5</f>
        <v>0</v>
      </c>
      <c r="K43" s="11" t="str">
        <f t="shared" si="9"/>
        <v>-</v>
      </c>
    </row>
    <row r="44" spans="1:11" x14ac:dyDescent="0.25">
      <c r="A44" s="3" t="s">
        <v>56</v>
      </c>
      <c r="B44" s="5">
        <f>'Jul''26'!J6</f>
        <v>0</v>
      </c>
      <c r="C44" s="11" t="str">
        <f t="shared" si="8"/>
        <v>-</v>
      </c>
      <c r="E44" s="3" t="s">
        <v>56</v>
      </c>
      <c r="F44" s="5">
        <f>'Ago''26'!J6</f>
        <v>0</v>
      </c>
      <c r="G44" s="11" t="str">
        <f t="shared" si="10"/>
        <v>-</v>
      </c>
      <c r="I44" s="3" t="s">
        <v>56</v>
      </c>
      <c r="J44" s="5">
        <f>'Set''26'!J6</f>
        <v>0</v>
      </c>
      <c r="K44" s="11" t="str">
        <f t="shared" si="9"/>
        <v>-</v>
      </c>
    </row>
    <row r="45" spans="1:11" x14ac:dyDescent="0.25">
      <c r="A45" s="3" t="s">
        <v>2</v>
      </c>
      <c r="B45" s="5">
        <f>'Jul''26'!J7</f>
        <v>0</v>
      </c>
      <c r="C45" s="11" t="str">
        <f t="shared" si="8"/>
        <v>-</v>
      </c>
      <c r="E45" s="3" t="s">
        <v>2</v>
      </c>
      <c r="F45" s="5">
        <f>'Ago''26'!J7</f>
        <v>0</v>
      </c>
      <c r="G45" s="11" t="str">
        <f t="shared" si="10"/>
        <v>-</v>
      </c>
      <c r="I45" s="3" t="s">
        <v>2</v>
      </c>
      <c r="J45" s="5">
        <f>'Set''26'!J7</f>
        <v>0</v>
      </c>
      <c r="K45" s="11" t="str">
        <f t="shared" si="9"/>
        <v>-</v>
      </c>
    </row>
    <row r="46" spans="1:11" x14ac:dyDescent="0.25">
      <c r="A46" s="3" t="s">
        <v>4</v>
      </c>
      <c r="B46" s="5">
        <f>'Jul''26'!J8</f>
        <v>0</v>
      </c>
      <c r="C46" s="11" t="str">
        <f t="shared" si="8"/>
        <v>-</v>
      </c>
      <c r="E46" s="3" t="s">
        <v>4</v>
      </c>
      <c r="F46" s="5">
        <f>'Ago''26'!J8</f>
        <v>0</v>
      </c>
      <c r="G46" s="11" t="str">
        <f t="shared" si="10"/>
        <v>-</v>
      </c>
      <c r="I46" s="3" t="s">
        <v>4</v>
      </c>
      <c r="J46" s="5">
        <f>'Set''26'!J8</f>
        <v>0</v>
      </c>
      <c r="K46" s="11" t="str">
        <f t="shared" si="9"/>
        <v>-</v>
      </c>
    </row>
    <row r="47" spans="1:11" x14ac:dyDescent="0.25">
      <c r="A47" s="3" t="s">
        <v>22</v>
      </c>
      <c r="B47" s="5">
        <f>'Jul''26'!J9</f>
        <v>0</v>
      </c>
      <c r="C47" s="11" t="str">
        <f t="shared" si="8"/>
        <v>-</v>
      </c>
      <c r="E47" s="3" t="s">
        <v>22</v>
      </c>
      <c r="F47" s="5">
        <f>'Ago''26'!J9</f>
        <v>0</v>
      </c>
      <c r="G47" s="11" t="str">
        <f t="shared" si="10"/>
        <v>-</v>
      </c>
      <c r="I47" s="3" t="s">
        <v>22</v>
      </c>
      <c r="J47" s="5">
        <f>'Set''26'!J9</f>
        <v>0</v>
      </c>
      <c r="K47" s="11" t="str">
        <f t="shared" si="9"/>
        <v>-</v>
      </c>
    </row>
    <row r="48" spans="1:11" x14ac:dyDescent="0.25">
      <c r="A48" s="3" t="s">
        <v>21</v>
      </c>
      <c r="B48" s="5">
        <f>'Jul''26'!J10</f>
        <v>0</v>
      </c>
      <c r="C48" s="11" t="str">
        <f t="shared" si="8"/>
        <v>-</v>
      </c>
      <c r="E48" s="3" t="s">
        <v>21</v>
      </c>
      <c r="F48" s="5">
        <f>'Ago''26'!J10</f>
        <v>0</v>
      </c>
      <c r="G48" s="11" t="str">
        <f t="shared" si="10"/>
        <v>-</v>
      </c>
      <c r="I48" s="3" t="s">
        <v>21</v>
      </c>
      <c r="J48" s="5">
        <f>'Set''26'!J10</f>
        <v>0</v>
      </c>
      <c r="K48" s="11" t="str">
        <f t="shared" si="9"/>
        <v>-</v>
      </c>
    </row>
    <row r="49" spans="1:11" x14ac:dyDescent="0.25">
      <c r="A49" s="3" t="s">
        <v>55</v>
      </c>
      <c r="B49" s="5">
        <f>'Jul''26'!J11</f>
        <v>0</v>
      </c>
      <c r="C49" s="11" t="str">
        <f t="shared" si="8"/>
        <v>-</v>
      </c>
      <c r="E49" s="3" t="s">
        <v>55</v>
      </c>
      <c r="F49" s="5">
        <f>'Ago''26'!J11</f>
        <v>0</v>
      </c>
      <c r="G49" s="11" t="str">
        <f t="shared" si="10"/>
        <v>-</v>
      </c>
      <c r="I49" s="3" t="s">
        <v>55</v>
      </c>
      <c r="J49" s="5">
        <f>'Set''26'!J11</f>
        <v>0</v>
      </c>
      <c r="K49" s="11" t="str">
        <f t="shared" si="9"/>
        <v>-</v>
      </c>
    </row>
    <row r="50" spans="1:11" x14ac:dyDescent="0.25">
      <c r="A50" s="3" t="s">
        <v>11</v>
      </c>
      <c r="B50" s="5">
        <f>'Jul''26'!J12</f>
        <v>0</v>
      </c>
      <c r="C50" s="11" t="str">
        <f t="shared" si="8"/>
        <v>-</v>
      </c>
      <c r="E50" s="3" t="s">
        <v>11</v>
      </c>
      <c r="F50" s="5">
        <f>'Ago''26'!J12</f>
        <v>0</v>
      </c>
      <c r="G50" s="11" t="str">
        <f t="shared" si="10"/>
        <v>-</v>
      </c>
      <c r="I50" s="3" t="s">
        <v>11</v>
      </c>
      <c r="J50" s="5">
        <f>'Set''26'!J12</f>
        <v>0</v>
      </c>
      <c r="K50" s="11" t="str">
        <f t="shared" si="9"/>
        <v>-</v>
      </c>
    </row>
    <row r="51" spans="1:11" x14ac:dyDescent="0.25">
      <c r="A51" s="3" t="s">
        <v>5</v>
      </c>
      <c r="B51" s="5">
        <f>'Jul''26'!J13</f>
        <v>0</v>
      </c>
      <c r="C51" s="11" t="str">
        <f t="shared" si="8"/>
        <v>-</v>
      </c>
      <c r="E51" s="3" t="s">
        <v>5</v>
      </c>
      <c r="F51" s="5">
        <f>'Ago''26'!J13</f>
        <v>0</v>
      </c>
      <c r="G51" s="11" t="str">
        <f t="shared" si="10"/>
        <v>-</v>
      </c>
      <c r="I51" s="3" t="s">
        <v>5</v>
      </c>
      <c r="J51" s="5">
        <f>'Set''26'!J13</f>
        <v>0</v>
      </c>
      <c r="K51" s="11" t="str">
        <f t="shared" si="9"/>
        <v>-</v>
      </c>
    </row>
    <row r="52" spans="1:11" x14ac:dyDescent="0.25">
      <c r="A52" s="3" t="s">
        <v>24</v>
      </c>
      <c r="B52" s="5">
        <f>'Jul''26'!J14</f>
        <v>0</v>
      </c>
      <c r="C52" s="11" t="str">
        <f t="shared" si="8"/>
        <v>-</v>
      </c>
      <c r="E52" s="3" t="s">
        <v>24</v>
      </c>
      <c r="F52" s="5">
        <f>'Ago''26'!J14</f>
        <v>0</v>
      </c>
      <c r="G52" s="11" t="str">
        <f t="shared" si="10"/>
        <v>-</v>
      </c>
      <c r="I52" s="3" t="s">
        <v>24</v>
      </c>
      <c r="J52" s="5">
        <f>'Set''26'!J14</f>
        <v>0</v>
      </c>
      <c r="K52" s="11" t="str">
        <f t="shared" si="9"/>
        <v>-</v>
      </c>
    </row>
    <row r="54" spans="1:11" x14ac:dyDescent="0.25">
      <c r="A54" s="4" t="s">
        <v>12</v>
      </c>
      <c r="B54" s="5">
        <f>SUM(B41:B52)</f>
        <v>0</v>
      </c>
      <c r="C54" s="12">
        <f>SUM(C41:C52)</f>
        <v>0</v>
      </c>
      <c r="E54" s="4" t="s">
        <v>12</v>
      </c>
      <c r="F54" s="5">
        <f>SUM(F41:F52)</f>
        <v>0</v>
      </c>
      <c r="G54" s="12">
        <f>SUM(G41:G52)</f>
        <v>0</v>
      </c>
      <c r="I54" s="4" t="s">
        <v>12</v>
      </c>
      <c r="J54" s="5">
        <f>SUM(J41:J52)</f>
        <v>0</v>
      </c>
      <c r="K54" s="12">
        <f>SUM(K41:K52)</f>
        <v>0</v>
      </c>
    </row>
    <row r="57" spans="1:11" x14ac:dyDescent="0.25">
      <c r="A57" s="39" t="s">
        <v>50</v>
      </c>
      <c r="B57" s="39"/>
      <c r="C57" s="39"/>
      <c r="E57" s="39" t="s">
        <v>51</v>
      </c>
      <c r="F57" s="39"/>
      <c r="G57" s="39"/>
      <c r="I57" s="39" t="s">
        <v>52</v>
      </c>
      <c r="J57" s="39"/>
      <c r="K57" s="39"/>
    </row>
    <row r="58" spans="1:11" x14ac:dyDescent="0.25">
      <c r="A58" s="4" t="s">
        <v>1</v>
      </c>
      <c r="B58" s="4" t="s">
        <v>0</v>
      </c>
      <c r="C58" s="4" t="s">
        <v>13</v>
      </c>
      <c r="E58" s="4" t="s">
        <v>1</v>
      </c>
      <c r="F58" s="4" t="s">
        <v>0</v>
      </c>
      <c r="G58" s="4" t="s">
        <v>13</v>
      </c>
      <c r="I58" s="4" t="s">
        <v>1</v>
      </c>
      <c r="J58" s="4" t="s">
        <v>0</v>
      </c>
      <c r="K58" s="4" t="s">
        <v>13</v>
      </c>
    </row>
    <row r="59" spans="1:11" x14ac:dyDescent="0.25">
      <c r="A59" s="3" t="s">
        <v>3</v>
      </c>
      <c r="B59" s="5">
        <f>'Out''26'!J3</f>
        <v>0</v>
      </c>
      <c r="C59" s="11" t="str">
        <f>IF($B$72=0,"-",B59/$B$72)</f>
        <v>-</v>
      </c>
      <c r="E59" s="3" t="s">
        <v>3</v>
      </c>
      <c r="F59" s="5">
        <f>'Nov''26'!J3</f>
        <v>0</v>
      </c>
      <c r="G59" s="11" t="str">
        <f>IF($F$72=0,"-",F59/$F$72)</f>
        <v>-</v>
      </c>
      <c r="I59" s="3" t="s">
        <v>3</v>
      </c>
      <c r="J59" s="5">
        <f>'Dez''26'!J3</f>
        <v>0</v>
      </c>
      <c r="K59" s="11" t="str">
        <f>IF($J$72=0,"-",J59/$J$72)</f>
        <v>-</v>
      </c>
    </row>
    <row r="60" spans="1:11" x14ac:dyDescent="0.25">
      <c r="A60" s="3" t="s">
        <v>23</v>
      </c>
      <c r="B60" s="5">
        <f>'Out''26'!J4</f>
        <v>0</v>
      </c>
      <c r="C60" s="11" t="str">
        <f t="shared" ref="C60:C70" si="11">IF($B$72=0,"-",B60/$B$72)</f>
        <v>-</v>
      </c>
      <c r="E60" s="3" t="s">
        <v>23</v>
      </c>
      <c r="F60" s="5">
        <f>'Nov''26'!J4</f>
        <v>0</v>
      </c>
      <c r="G60" s="11" t="str">
        <f t="shared" ref="G60:G70" si="12">IF($F$72=0,"-",F60/$F$72)</f>
        <v>-</v>
      </c>
      <c r="I60" s="3" t="s">
        <v>23</v>
      </c>
      <c r="J60" s="5">
        <f>'Dez''26'!J4</f>
        <v>0</v>
      </c>
      <c r="K60" s="11" t="str">
        <f t="shared" ref="K60:K70" si="13">IF($J$72=0,"-",J60/$J$72)</f>
        <v>-</v>
      </c>
    </row>
    <row r="61" spans="1:11" x14ac:dyDescent="0.25">
      <c r="A61" s="3" t="s">
        <v>20</v>
      </c>
      <c r="B61" s="5">
        <f>'Out''26'!J5</f>
        <v>0</v>
      </c>
      <c r="C61" s="11" t="str">
        <f t="shared" si="11"/>
        <v>-</v>
      </c>
      <c r="E61" s="3" t="s">
        <v>20</v>
      </c>
      <c r="F61" s="5">
        <f>'Nov''26'!J5</f>
        <v>0</v>
      </c>
      <c r="G61" s="11" t="str">
        <f t="shared" si="12"/>
        <v>-</v>
      </c>
      <c r="I61" s="3" t="s">
        <v>20</v>
      </c>
      <c r="J61" s="5">
        <f>'Dez''26'!J5</f>
        <v>0</v>
      </c>
      <c r="K61" s="11" t="str">
        <f t="shared" si="13"/>
        <v>-</v>
      </c>
    </row>
    <row r="62" spans="1:11" x14ac:dyDescent="0.25">
      <c r="A62" s="3" t="s">
        <v>56</v>
      </c>
      <c r="B62" s="5">
        <f>'Out''26'!J6</f>
        <v>0</v>
      </c>
      <c r="C62" s="11" t="str">
        <f t="shared" si="11"/>
        <v>-</v>
      </c>
      <c r="E62" s="3" t="s">
        <v>56</v>
      </c>
      <c r="F62" s="5">
        <f>'Nov''26'!J6</f>
        <v>0</v>
      </c>
      <c r="G62" s="11" t="str">
        <f t="shared" si="12"/>
        <v>-</v>
      </c>
      <c r="I62" s="3" t="s">
        <v>56</v>
      </c>
      <c r="J62" s="5">
        <f>'Dez''26'!J6</f>
        <v>0</v>
      </c>
      <c r="K62" s="11" t="str">
        <f t="shared" si="13"/>
        <v>-</v>
      </c>
    </row>
    <row r="63" spans="1:11" x14ac:dyDescent="0.25">
      <c r="A63" s="3" t="s">
        <v>2</v>
      </c>
      <c r="B63" s="5">
        <f>'Out''26'!J7</f>
        <v>0</v>
      </c>
      <c r="C63" s="11" t="str">
        <f t="shared" si="11"/>
        <v>-</v>
      </c>
      <c r="E63" s="3" t="s">
        <v>2</v>
      </c>
      <c r="F63" s="5">
        <f>'Nov''26'!J7</f>
        <v>0</v>
      </c>
      <c r="G63" s="11" t="str">
        <f t="shared" si="12"/>
        <v>-</v>
      </c>
      <c r="I63" s="3" t="s">
        <v>2</v>
      </c>
      <c r="J63" s="5">
        <f>'Dez''26'!J7</f>
        <v>0</v>
      </c>
      <c r="K63" s="11" t="str">
        <f t="shared" si="13"/>
        <v>-</v>
      </c>
    </row>
    <row r="64" spans="1:11" x14ac:dyDescent="0.25">
      <c r="A64" s="3" t="s">
        <v>4</v>
      </c>
      <c r="B64" s="5">
        <f>'Out''26'!J8</f>
        <v>0</v>
      </c>
      <c r="C64" s="11" t="str">
        <f t="shared" si="11"/>
        <v>-</v>
      </c>
      <c r="E64" s="3" t="s">
        <v>4</v>
      </c>
      <c r="F64" s="5">
        <f>'Nov''26'!J8</f>
        <v>0</v>
      </c>
      <c r="G64" s="11" t="str">
        <f t="shared" si="12"/>
        <v>-</v>
      </c>
      <c r="I64" s="3" t="s">
        <v>4</v>
      </c>
      <c r="J64" s="5">
        <f>'Dez''26'!J8</f>
        <v>0</v>
      </c>
      <c r="K64" s="11" t="str">
        <f t="shared" si="13"/>
        <v>-</v>
      </c>
    </row>
    <row r="65" spans="1:11" x14ac:dyDescent="0.25">
      <c r="A65" s="3" t="s">
        <v>22</v>
      </c>
      <c r="B65" s="5">
        <f>'Out''26'!J9</f>
        <v>0</v>
      </c>
      <c r="C65" s="11" t="str">
        <f t="shared" si="11"/>
        <v>-</v>
      </c>
      <c r="E65" s="3" t="s">
        <v>22</v>
      </c>
      <c r="F65" s="5">
        <f>'Nov''26'!J9</f>
        <v>0</v>
      </c>
      <c r="G65" s="11" t="str">
        <f t="shared" si="12"/>
        <v>-</v>
      </c>
      <c r="I65" s="3" t="s">
        <v>22</v>
      </c>
      <c r="J65" s="5">
        <f>'Dez''26'!J9</f>
        <v>0</v>
      </c>
      <c r="K65" s="11" t="str">
        <f t="shared" si="13"/>
        <v>-</v>
      </c>
    </row>
    <row r="66" spans="1:11" x14ac:dyDescent="0.25">
      <c r="A66" s="3" t="s">
        <v>21</v>
      </c>
      <c r="B66" s="5">
        <f>'Out''26'!J10</f>
        <v>0</v>
      </c>
      <c r="C66" s="11" t="str">
        <f t="shared" si="11"/>
        <v>-</v>
      </c>
      <c r="E66" s="3" t="s">
        <v>21</v>
      </c>
      <c r="F66" s="5">
        <f>'Nov''26'!J10</f>
        <v>0</v>
      </c>
      <c r="G66" s="11" t="str">
        <f t="shared" si="12"/>
        <v>-</v>
      </c>
      <c r="I66" s="3" t="s">
        <v>21</v>
      </c>
      <c r="J66" s="5">
        <f>'Dez''26'!J10</f>
        <v>0</v>
      </c>
      <c r="K66" s="11" t="str">
        <f t="shared" si="13"/>
        <v>-</v>
      </c>
    </row>
    <row r="67" spans="1:11" x14ac:dyDescent="0.25">
      <c r="A67" s="3" t="s">
        <v>55</v>
      </c>
      <c r="B67" s="5">
        <f>'Out''26'!J11</f>
        <v>0</v>
      </c>
      <c r="C67" s="11" t="str">
        <f t="shared" si="11"/>
        <v>-</v>
      </c>
      <c r="E67" s="3" t="s">
        <v>55</v>
      </c>
      <c r="F67" s="5">
        <f>'Nov''26'!J11</f>
        <v>0</v>
      </c>
      <c r="G67" s="11" t="str">
        <f t="shared" si="12"/>
        <v>-</v>
      </c>
      <c r="I67" s="3" t="s">
        <v>55</v>
      </c>
      <c r="J67" s="5">
        <f>'Dez''26'!J11</f>
        <v>0</v>
      </c>
      <c r="K67" s="11" t="str">
        <f t="shared" si="13"/>
        <v>-</v>
      </c>
    </row>
    <row r="68" spans="1:11" x14ac:dyDescent="0.25">
      <c r="A68" s="3" t="s">
        <v>11</v>
      </c>
      <c r="B68" s="5">
        <f>'Out''26'!J12</f>
        <v>0</v>
      </c>
      <c r="C68" s="11" t="str">
        <f t="shared" si="11"/>
        <v>-</v>
      </c>
      <c r="E68" s="3" t="s">
        <v>11</v>
      </c>
      <c r="F68" s="5">
        <f>'Nov''26'!J12</f>
        <v>0</v>
      </c>
      <c r="G68" s="11" t="str">
        <f t="shared" si="12"/>
        <v>-</v>
      </c>
      <c r="I68" s="3" t="s">
        <v>11</v>
      </c>
      <c r="J68" s="5">
        <f>'Dez''26'!J12</f>
        <v>0</v>
      </c>
      <c r="K68" s="11" t="str">
        <f t="shared" si="13"/>
        <v>-</v>
      </c>
    </row>
    <row r="69" spans="1:11" x14ac:dyDescent="0.25">
      <c r="A69" s="3" t="s">
        <v>5</v>
      </c>
      <c r="B69" s="5">
        <f>'Out''26'!J13</f>
        <v>0</v>
      </c>
      <c r="C69" s="11" t="str">
        <f t="shared" si="11"/>
        <v>-</v>
      </c>
      <c r="E69" s="3" t="s">
        <v>5</v>
      </c>
      <c r="F69" s="5">
        <f>'Nov''26'!J13</f>
        <v>0</v>
      </c>
      <c r="G69" s="11" t="str">
        <f t="shared" si="12"/>
        <v>-</v>
      </c>
      <c r="I69" s="3" t="s">
        <v>5</v>
      </c>
      <c r="J69" s="5">
        <f>'Dez''26'!J13</f>
        <v>0</v>
      </c>
      <c r="K69" s="11" t="str">
        <f t="shared" si="13"/>
        <v>-</v>
      </c>
    </row>
    <row r="70" spans="1:11" x14ac:dyDescent="0.25">
      <c r="A70" s="3" t="s">
        <v>24</v>
      </c>
      <c r="B70" s="5">
        <f>'Out''26'!J14</f>
        <v>0</v>
      </c>
      <c r="C70" s="11" t="str">
        <f t="shared" si="11"/>
        <v>-</v>
      </c>
      <c r="E70" s="3" t="s">
        <v>24</v>
      </c>
      <c r="F70" s="5">
        <f>'Nov''26'!J14</f>
        <v>0</v>
      </c>
      <c r="G70" s="11" t="str">
        <f t="shared" si="12"/>
        <v>-</v>
      </c>
      <c r="I70" s="3" t="s">
        <v>24</v>
      </c>
      <c r="J70" s="5">
        <f>'Dez''26'!J14</f>
        <v>0</v>
      </c>
      <c r="K70" s="11" t="str">
        <f t="shared" si="13"/>
        <v>-</v>
      </c>
    </row>
    <row r="72" spans="1:11" x14ac:dyDescent="0.25">
      <c r="A72" s="4" t="s">
        <v>12</v>
      </c>
      <c r="B72" s="5">
        <f>SUM(B59:B70)</f>
        <v>0</v>
      </c>
      <c r="C72" s="12">
        <f>SUM(C59:C70)</f>
        <v>0</v>
      </c>
      <c r="E72" s="4" t="s">
        <v>12</v>
      </c>
      <c r="F72" s="5">
        <f>SUM(F59:F70)</f>
        <v>0</v>
      </c>
      <c r="G72" s="12">
        <f>SUM(G59:G70)</f>
        <v>0</v>
      </c>
      <c r="I72" s="4" t="s">
        <v>12</v>
      </c>
      <c r="J72" s="5">
        <f>SUM(J59:J70)</f>
        <v>0</v>
      </c>
      <c r="K72" s="12">
        <f>SUM(K59:K70)</f>
        <v>0</v>
      </c>
    </row>
  </sheetData>
  <sheetProtection algorithmName="SHA-512" hashValue="BK7RUuTS+mJOR2ds+dVVH5jVAtUpb/FRqYbFGgzzIYru26vmNw9uI+KTvZ6slWZCfZScHk2LTsxT8yqHKAAWbQ==" saltValue="OCS7bgzmzLK5yjLEs+10ug==" spinCount="100000" sheet="1" formatCells="0" formatColumns="0" formatRows="0" insertColumns="0" insertRows="0" insertHyperlinks="0" deleteColumns="0" deleteRows="0" selectLockedCells="1" sort="0" autoFilter="0" pivotTables="0"/>
  <mergeCells count="13">
    <mergeCell ref="P3:R3"/>
    <mergeCell ref="A21:C21"/>
    <mergeCell ref="E21:G21"/>
    <mergeCell ref="I21:K21"/>
    <mergeCell ref="A39:C39"/>
    <mergeCell ref="E39:G39"/>
    <mergeCell ref="I39:K39"/>
    <mergeCell ref="A57:C57"/>
    <mergeCell ref="E57:G57"/>
    <mergeCell ref="I57:K57"/>
    <mergeCell ref="A3:C3"/>
    <mergeCell ref="E3:G3"/>
    <mergeCell ref="I3:K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L40"/>
  <sheetViews>
    <sheetView showGridLines="0" workbookViewId="0">
      <selection activeCell="A5" sqref="A5"/>
    </sheetView>
  </sheetViews>
  <sheetFormatPr defaultColWidth="9.140625" defaultRowHeight="15" x14ac:dyDescent="0.25"/>
  <cols>
    <col min="1" max="1" width="20.7109375" style="1" customWidth="1"/>
    <col min="2" max="2" width="15.7109375" style="1" customWidth="1"/>
    <col min="3" max="3" width="20.7109375" style="1" customWidth="1"/>
    <col min="4" max="4" width="15.7109375" style="1" customWidth="1"/>
    <col min="5" max="5" width="20.7109375" style="1" customWidth="1"/>
    <col min="6" max="6" width="15.7109375" style="1" customWidth="1"/>
    <col min="7" max="7" width="20.7109375" style="1" customWidth="1"/>
    <col min="8" max="8" width="15.7109375" style="1" customWidth="1"/>
    <col min="9" max="9" width="20.7109375" style="1" customWidth="1"/>
    <col min="10" max="10" width="15.7109375" style="1" customWidth="1"/>
    <col min="11" max="11" width="20.7109375" style="1" customWidth="1"/>
    <col min="12" max="12" width="15.7109375" style="1" customWidth="1"/>
    <col min="13" max="16384" width="9.140625" style="1"/>
  </cols>
  <sheetData>
    <row r="1" spans="1:12" x14ac:dyDescent="0.25">
      <c r="A1" s="4" t="s">
        <v>54</v>
      </c>
    </row>
    <row r="2" spans="1:12" x14ac:dyDescent="0.25">
      <c r="A2" s="19"/>
    </row>
    <row r="3" spans="1:12" x14ac:dyDescent="0.25">
      <c r="A3" s="43" t="s">
        <v>29</v>
      </c>
      <c r="B3" s="43"/>
      <c r="C3" s="43" t="s">
        <v>30</v>
      </c>
      <c r="D3" s="43"/>
      <c r="E3" s="43" t="s">
        <v>31</v>
      </c>
      <c r="F3" s="43"/>
      <c r="G3" s="43" t="s">
        <v>32</v>
      </c>
      <c r="H3" s="43"/>
      <c r="I3" s="43" t="s">
        <v>33</v>
      </c>
      <c r="J3" s="43"/>
      <c r="K3" s="43" t="s">
        <v>34</v>
      </c>
      <c r="L3" s="43"/>
    </row>
    <row r="4" spans="1:12" x14ac:dyDescent="0.25">
      <c r="A4" s="4" t="s">
        <v>15</v>
      </c>
      <c r="B4" s="4" t="s">
        <v>0</v>
      </c>
      <c r="C4" s="4" t="s">
        <v>15</v>
      </c>
      <c r="D4" s="4" t="s">
        <v>0</v>
      </c>
      <c r="E4" s="4" t="s">
        <v>15</v>
      </c>
      <c r="F4" s="4" t="s">
        <v>0</v>
      </c>
      <c r="G4" s="4" t="s">
        <v>15</v>
      </c>
      <c r="H4" s="4" t="s">
        <v>0</v>
      </c>
      <c r="I4" s="4" t="s">
        <v>15</v>
      </c>
      <c r="J4" s="4" t="s">
        <v>0</v>
      </c>
      <c r="K4" s="4" t="s">
        <v>15</v>
      </c>
      <c r="L4" s="4" t="s">
        <v>0</v>
      </c>
    </row>
    <row r="5" spans="1:12" x14ac:dyDescent="0.25">
      <c r="A5" s="36"/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</row>
    <row r="6" spans="1:12" x14ac:dyDescent="0.25">
      <c r="A6" s="36"/>
      <c r="B6" s="37"/>
      <c r="C6" s="36"/>
      <c r="D6" s="37"/>
      <c r="E6" s="36"/>
      <c r="F6" s="37"/>
      <c r="G6" s="36"/>
      <c r="H6" s="37"/>
      <c r="I6" s="36"/>
      <c r="J6" s="37"/>
      <c r="K6" s="36"/>
      <c r="L6" s="37"/>
    </row>
    <row r="7" spans="1:12" x14ac:dyDescent="0.25">
      <c r="A7" s="36"/>
      <c r="B7" s="37"/>
      <c r="C7" s="17"/>
      <c r="D7" s="37"/>
      <c r="E7" s="36"/>
      <c r="F7" s="37"/>
      <c r="G7" s="36"/>
      <c r="H7" s="37"/>
      <c r="I7" s="36"/>
      <c r="J7" s="37"/>
      <c r="K7" s="36"/>
      <c r="L7" s="37"/>
    </row>
    <row r="8" spans="1:12" x14ac:dyDescent="0.25">
      <c r="A8" s="36"/>
      <c r="B8" s="37"/>
      <c r="C8" s="17"/>
      <c r="D8" s="37"/>
      <c r="E8" s="36"/>
      <c r="F8" s="37"/>
      <c r="G8" s="17"/>
      <c r="H8" s="37"/>
      <c r="I8" s="36"/>
      <c r="J8" s="37"/>
      <c r="K8" s="36"/>
      <c r="L8" s="37"/>
    </row>
    <row r="9" spans="1:12" x14ac:dyDescent="0.25">
      <c r="A9" s="36"/>
      <c r="B9" s="37"/>
      <c r="C9" s="17"/>
      <c r="D9" s="37"/>
      <c r="E9" s="36"/>
      <c r="F9" s="37"/>
      <c r="G9" s="36"/>
      <c r="H9" s="37"/>
      <c r="I9" s="36"/>
      <c r="J9" s="37"/>
      <c r="K9" s="36"/>
      <c r="L9" s="37"/>
    </row>
    <row r="10" spans="1:12" x14ac:dyDescent="0.25">
      <c r="A10" s="36"/>
      <c r="B10" s="37"/>
      <c r="C10" s="17"/>
      <c r="D10" s="37"/>
      <c r="E10" s="36"/>
      <c r="F10" s="37"/>
      <c r="G10" s="36"/>
      <c r="H10" s="37"/>
      <c r="I10" s="36"/>
      <c r="J10" s="37"/>
      <c r="K10" s="36"/>
      <c r="L10" s="37"/>
    </row>
    <row r="11" spans="1:12" x14ac:dyDescent="0.25">
      <c r="A11" s="36"/>
      <c r="B11" s="37"/>
      <c r="C11" s="17"/>
      <c r="D11" s="37"/>
      <c r="E11" s="36"/>
      <c r="F11" s="37"/>
      <c r="G11" s="36"/>
      <c r="H11" s="37"/>
      <c r="I11" s="36"/>
      <c r="J11" s="37"/>
      <c r="K11" s="36"/>
      <c r="L11" s="37"/>
    </row>
    <row r="12" spans="1:12" x14ac:dyDescent="0.25">
      <c r="A12" s="36"/>
      <c r="B12" s="37"/>
      <c r="C12" s="17"/>
      <c r="D12" s="37"/>
      <c r="E12" s="36"/>
      <c r="F12" s="37"/>
      <c r="G12" s="36"/>
      <c r="H12" s="37"/>
      <c r="I12" s="36"/>
      <c r="J12" s="37"/>
      <c r="K12" s="36"/>
      <c r="L12" s="37"/>
    </row>
    <row r="13" spans="1:12" x14ac:dyDescent="0.25"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15.75" x14ac:dyDescent="0.25">
      <c r="A14" s="26" t="s">
        <v>12</v>
      </c>
      <c r="B14" s="27">
        <f>SUM(B5:B12)</f>
        <v>0</v>
      </c>
      <c r="C14" s="26" t="s">
        <v>12</v>
      </c>
      <c r="D14" s="27">
        <f>SUM(D5:D12)</f>
        <v>0</v>
      </c>
      <c r="E14" s="26" t="s">
        <v>12</v>
      </c>
      <c r="F14" s="27">
        <f>SUM(F5:F12)</f>
        <v>0</v>
      </c>
      <c r="G14" s="26" t="s">
        <v>12</v>
      </c>
      <c r="H14" s="27">
        <f>SUM(H5:H12)</f>
        <v>0</v>
      </c>
      <c r="I14" s="26" t="s">
        <v>12</v>
      </c>
      <c r="J14" s="27">
        <f>SUM(J5:J12)</f>
        <v>0</v>
      </c>
      <c r="K14" s="26" t="s">
        <v>12</v>
      </c>
      <c r="L14" s="27">
        <f>SUM(L5:L12)</f>
        <v>0</v>
      </c>
    </row>
    <row r="15" spans="1:12" x14ac:dyDescent="0.25">
      <c r="D15" s="20"/>
      <c r="E15" s="20"/>
      <c r="F15" s="20"/>
      <c r="G15" s="20"/>
      <c r="H15" s="20"/>
      <c r="I15" s="20"/>
      <c r="J15" s="20"/>
      <c r="K15" s="20"/>
      <c r="L15" s="20"/>
    </row>
    <row r="16" spans="1:12" x14ac:dyDescent="0.25">
      <c r="A16" s="43" t="s">
        <v>35</v>
      </c>
      <c r="B16" s="43"/>
      <c r="C16" s="43" t="s">
        <v>36</v>
      </c>
      <c r="D16" s="43"/>
      <c r="E16" s="43" t="s">
        <v>37</v>
      </c>
      <c r="F16" s="43"/>
      <c r="G16" s="43" t="s">
        <v>38</v>
      </c>
      <c r="H16" s="43"/>
      <c r="I16" s="43" t="s">
        <v>39</v>
      </c>
      <c r="J16" s="43"/>
      <c r="K16" s="43" t="s">
        <v>40</v>
      </c>
      <c r="L16" s="43"/>
    </row>
    <row r="17" spans="1:12" x14ac:dyDescent="0.25">
      <c r="A17" s="4" t="s">
        <v>15</v>
      </c>
      <c r="B17" s="4" t="s">
        <v>0</v>
      </c>
      <c r="C17" s="4" t="s">
        <v>15</v>
      </c>
      <c r="D17" s="4" t="s">
        <v>0</v>
      </c>
      <c r="E17" s="4" t="s">
        <v>15</v>
      </c>
      <c r="F17" s="4" t="s">
        <v>0</v>
      </c>
      <c r="G17" s="4" t="s">
        <v>15</v>
      </c>
      <c r="H17" s="4" t="s">
        <v>0</v>
      </c>
      <c r="I17" s="4" t="s">
        <v>15</v>
      </c>
      <c r="J17" s="4" t="s">
        <v>0</v>
      </c>
      <c r="K17" s="4" t="s">
        <v>15</v>
      </c>
      <c r="L17" s="4" t="s">
        <v>0</v>
      </c>
    </row>
    <row r="18" spans="1:12" x14ac:dyDescent="0.25">
      <c r="A18" s="36"/>
      <c r="B18" s="37"/>
      <c r="C18" s="36"/>
      <c r="D18" s="37"/>
      <c r="E18" s="36"/>
      <c r="F18" s="37"/>
      <c r="G18" s="36"/>
      <c r="H18" s="37"/>
      <c r="I18" s="36"/>
      <c r="J18" s="37"/>
      <c r="K18" s="36"/>
      <c r="L18" s="37"/>
    </row>
    <row r="19" spans="1:12" x14ac:dyDescent="0.25">
      <c r="A19" s="36"/>
      <c r="B19" s="37"/>
      <c r="C19" s="36"/>
      <c r="D19" s="37"/>
      <c r="E19" s="36"/>
      <c r="F19" s="37"/>
      <c r="G19" s="36"/>
      <c r="H19" s="37"/>
      <c r="I19" s="36"/>
      <c r="J19" s="37"/>
      <c r="K19" s="36"/>
      <c r="L19" s="37"/>
    </row>
    <row r="20" spans="1:12" x14ac:dyDescent="0.25">
      <c r="A20" s="36"/>
      <c r="B20" s="37"/>
      <c r="C20" s="36"/>
      <c r="D20" s="37"/>
      <c r="E20" s="36"/>
      <c r="F20" s="37"/>
      <c r="G20" s="36"/>
      <c r="H20" s="37"/>
      <c r="I20" s="36"/>
      <c r="J20" s="37"/>
      <c r="K20" s="36"/>
      <c r="L20" s="37"/>
    </row>
    <row r="21" spans="1:12" x14ac:dyDescent="0.25">
      <c r="A21" s="36"/>
      <c r="B21" s="37"/>
      <c r="C21" s="36"/>
      <c r="D21" s="37"/>
      <c r="E21" s="36"/>
      <c r="F21" s="37"/>
      <c r="G21" s="36"/>
      <c r="H21" s="37"/>
      <c r="I21" s="36"/>
      <c r="J21" s="37"/>
      <c r="K21" s="36"/>
      <c r="L21" s="37"/>
    </row>
    <row r="22" spans="1:12" x14ac:dyDescent="0.25">
      <c r="A22" s="36"/>
      <c r="B22" s="37"/>
      <c r="C22" s="17"/>
      <c r="D22" s="37"/>
      <c r="E22" s="36"/>
      <c r="F22" s="37"/>
      <c r="G22" s="36"/>
      <c r="H22" s="37"/>
      <c r="I22" s="36"/>
      <c r="J22" s="37"/>
      <c r="K22" s="36"/>
      <c r="L22" s="37"/>
    </row>
    <row r="23" spans="1:12" x14ac:dyDescent="0.25">
      <c r="A23" s="36"/>
      <c r="B23" s="37"/>
      <c r="C23" s="17"/>
      <c r="D23" s="37"/>
      <c r="E23" s="36"/>
      <c r="F23" s="37"/>
      <c r="G23" s="36"/>
      <c r="H23" s="37"/>
      <c r="I23" s="36"/>
      <c r="J23" s="37"/>
      <c r="K23" s="36"/>
      <c r="L23" s="37"/>
    </row>
    <row r="24" spans="1:12" x14ac:dyDescent="0.25">
      <c r="A24" s="36"/>
      <c r="B24" s="37"/>
      <c r="C24" s="36"/>
      <c r="D24" s="37"/>
      <c r="E24" s="36"/>
      <c r="F24" s="37"/>
      <c r="G24" s="36"/>
      <c r="H24" s="37"/>
      <c r="I24" s="36"/>
      <c r="J24" s="37"/>
      <c r="K24" s="36"/>
      <c r="L24" s="37"/>
    </row>
    <row r="25" spans="1:12" x14ac:dyDescent="0.25">
      <c r="A25" s="36"/>
      <c r="B25" s="37"/>
      <c r="C25" s="17"/>
      <c r="D25" s="37"/>
      <c r="E25" s="36"/>
      <c r="F25" s="37"/>
      <c r="G25" s="36"/>
      <c r="H25" s="37"/>
      <c r="I25" s="36"/>
      <c r="J25" s="37"/>
      <c r="K25" s="36"/>
      <c r="L25" s="37"/>
    </row>
    <row r="26" spans="1:12" x14ac:dyDescent="0.25"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15.75" x14ac:dyDescent="0.25">
      <c r="A27" s="26" t="s">
        <v>12</v>
      </c>
      <c r="B27" s="27">
        <f>SUM(B18:B25)</f>
        <v>0</v>
      </c>
      <c r="C27" s="26" t="s">
        <v>12</v>
      </c>
      <c r="D27" s="27">
        <f>SUM(D18:D25)</f>
        <v>0</v>
      </c>
      <c r="E27" s="26" t="s">
        <v>12</v>
      </c>
      <c r="F27" s="27">
        <f>SUM(F18:F25)</f>
        <v>0</v>
      </c>
      <c r="G27" s="26" t="s">
        <v>12</v>
      </c>
      <c r="H27" s="27">
        <f>SUM(H18:H25)</f>
        <v>0</v>
      </c>
      <c r="I27" s="26" t="s">
        <v>12</v>
      </c>
      <c r="J27" s="27">
        <f>SUM(J18:J25)</f>
        <v>0</v>
      </c>
      <c r="K27" s="26" t="s">
        <v>12</v>
      </c>
      <c r="L27" s="27">
        <f>SUM(L18:L25)</f>
        <v>0</v>
      </c>
    </row>
    <row r="28" spans="1:12" x14ac:dyDescent="0.25">
      <c r="D28" s="20"/>
      <c r="E28" s="20"/>
      <c r="F28" s="20"/>
      <c r="G28" s="20"/>
      <c r="H28" s="20"/>
      <c r="I28" s="20"/>
      <c r="J28" s="20"/>
      <c r="K28" s="20"/>
      <c r="L28" s="20"/>
    </row>
    <row r="29" spans="1:12" x14ac:dyDescent="0.25"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5">
      <c r="D30" s="20"/>
      <c r="E30" s="20"/>
      <c r="F30" s="20"/>
      <c r="G30" s="20"/>
      <c r="H30" s="20"/>
      <c r="I30" s="20"/>
      <c r="J30" s="20"/>
      <c r="K30" s="20"/>
      <c r="L30" s="20"/>
    </row>
    <row r="31" spans="1:12" x14ac:dyDescent="0.25">
      <c r="D31" s="20"/>
      <c r="E31" s="20"/>
      <c r="F31" s="20"/>
      <c r="G31" s="20"/>
      <c r="H31" s="20"/>
      <c r="I31" s="20"/>
      <c r="J31" s="20"/>
      <c r="K31" s="20"/>
      <c r="L31" s="20"/>
    </row>
    <row r="32" spans="1:12" ht="15.75" x14ac:dyDescent="0.25">
      <c r="D32" s="20"/>
      <c r="E32" s="20"/>
      <c r="F32" s="26" t="s">
        <v>16</v>
      </c>
      <c r="G32" s="27">
        <f>SUM(B14,D14,F14,H14,J14,L14,B27,D27,F27,H27,J27,L27)</f>
        <v>0</v>
      </c>
      <c r="H32" s="20"/>
    </row>
    <row r="38" spans="1:12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</sheetData>
  <sheetProtection algorithmName="SHA-512" hashValue="rPRpg3Noycwj0xrMPsUQQnAPPOsSzIG0Y7Mc/6LPHvdmxMIWbFwo0UGnNlymWtbZLEz+K1oY3QUDJQ12A+N98w==" saltValue="xg131BZShfEkhwpWEs9FKw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12">
    <mergeCell ref="K3:L3"/>
    <mergeCell ref="A16:B16"/>
    <mergeCell ref="C16:D16"/>
    <mergeCell ref="E16:F16"/>
    <mergeCell ref="G16:H16"/>
    <mergeCell ref="I16:J16"/>
    <mergeCell ref="K16:L16"/>
    <mergeCell ref="A3:B3"/>
    <mergeCell ref="C3:D3"/>
    <mergeCell ref="E3:F3"/>
    <mergeCell ref="G3:H3"/>
    <mergeCell ref="I3:J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9t0tXVUmM2Fe3g3qhj/0WEdxp6A5cwIKttLbPHsvQWwLeL3gQjugNw5c/1Tv7WUwoJC9DajCi9fKtKc4yZYvzA==" saltValue="jRaQl7K1L/A0Ziq8EDorlw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5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500-000000000000}">
          <x14:formula1>
            <xm:f>Revisões!$F$17:$F$18</xm:f>
          </x14:formula1>
          <xm:sqref>E3:E100</xm:sqref>
        </x14:dataValidation>
        <x14:dataValidation type="list" allowBlank="1" showInputMessage="1" showErrorMessage="1" xr:uid="{00000000-0002-0000-0500-000001000000}">
          <x14:formula1>
            <xm:f>Revisões!$F$2:$F$14</xm:f>
          </x14:formula1>
          <xm:sqref>D3:D100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qnYpzqHL+ziw7scO9cOhm4LWMH8auHGQU2OlExvQF4Z0hf1VKAQ1+BFggDqOrPdCdBMYXFTriONUQb/dXLNLgA==" saltValue="M9y7NS9jI+mlV2l4AoZVpg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6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Revisões!$F$2:$F$14</xm:f>
          </x14:formula1>
          <xm:sqref>D3:D100</xm:sqref>
        </x14:dataValidation>
        <x14:dataValidation type="list" allowBlank="1" showInputMessage="1" showErrorMessage="1" xr:uid="{00000000-0002-0000-0600-000001000000}">
          <x14:formula1>
            <xm:f>Revisões!$F$17:$F$18</xm:f>
          </x14:formula1>
          <xm:sqref>E3:E100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WQMtXrWw8PeHpGFe/TFQJW2pEc8AqYxXEINx3cU2TJruhgvK3SvwsP7S3BjuVyVwG4XZcWR2GhfjDfJz94FqJw==" saltValue="c4Y7cDDeJnRIvYizzHxdIA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7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Revisões!$F$17:$F$18</xm:f>
          </x14:formula1>
          <xm:sqref>E3:E100</xm:sqref>
        </x14:dataValidation>
        <x14:dataValidation type="list" allowBlank="1" showInputMessage="1" showErrorMessage="1" xr:uid="{00000000-0002-0000-0700-000001000000}">
          <x14:formula1>
            <xm:f>Revisões!$F$2:$F$14</xm:f>
          </x14:formula1>
          <xm:sqref>D3:D100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9mPjh07KuXvdbAM7dE5TxdOc8Yj7E7ffD+mfjniHRrgatGIuE+1h4t+dQvYI02ZnCrj7eiW6bNADCwRfQjiZqg==" saltValue="GDu6SWc1kiLJi3gXYEFVTQ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8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Revisões!$F$2:$F$14</xm:f>
          </x14:formula1>
          <xm:sqref>D3:D100</xm:sqref>
        </x14:dataValidation>
        <x14:dataValidation type="list" allowBlank="1" showInputMessage="1" showErrorMessage="1" xr:uid="{00000000-0002-0000-0800-000001000000}">
          <x14:formula1>
            <xm:f>Revisões!$F$17:$F$18</xm:f>
          </x14:formula1>
          <xm:sqref>E3:E100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gkBYyoy8EYem/daNygco14L1IVxAsDmWNJqtllW488YkWykgvggyMmOLhznsCCs8aj9wDJc8D8MQU0zjUEuZEg==" saltValue="iXnERxpNBKgPlNd3JVZ7/g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9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Revisões!$F$17:$F$18</xm:f>
          </x14:formula1>
          <xm:sqref>E3:E100</xm:sqref>
        </x14:dataValidation>
        <x14:dataValidation type="list" allowBlank="1" showInputMessage="1" showErrorMessage="1" xr:uid="{00000000-0002-0000-0900-000001000000}">
          <x14:formula1>
            <xm:f>Revisões!$F$2:$F$14</xm:f>
          </x14:formula1>
          <xm:sqref>D3:D100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01q8DJbIQzSLojApf6cZaz9o/AyzHrFSOr2TqTvvAApvwpnBoQLK4u/EH8JQ2hAwiRGmZR2KxOzJuvGeyF8khg==" saltValue="jaxy16dV9mxI/NFal4QFnw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A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Revisões!$F$2:$F$14</xm:f>
          </x14:formula1>
          <xm:sqref>D3:D100</xm:sqref>
        </x14:dataValidation>
        <x14:dataValidation type="list" allowBlank="1" showInputMessage="1" showErrorMessage="1" xr:uid="{00000000-0002-0000-0A00-000001000000}">
          <x14:formula1>
            <xm:f>Revisões!$F$17:$F$18</xm:f>
          </x14:formula1>
          <xm:sqref>E3:E100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och+bj9GFSWvDyqCtR4/0D3EuxR3wtVACvf+i0SFti/2/pu7GFT3ewzrspDg3exxJc5FgcWF+DAUyO43aKg7yA==" saltValue="JvENIOojcd79mYRaFhfopA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B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Revisões!$F$17:$F$18</xm:f>
          </x14:formula1>
          <xm:sqref>E3:E100</xm:sqref>
        </x14:dataValidation>
        <x14:dataValidation type="list" allowBlank="1" showInputMessage="1" showErrorMessage="1" xr:uid="{00000000-0002-0000-0B00-000001000000}">
          <x14:formula1>
            <xm:f>Revisões!$F$2:$F$14</xm:f>
          </x14:formula1>
          <xm:sqref>D3:D100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Uq3FjPLc34YDiGZigsihy/1BmmdXjtuj+4AuBbbvkUzD7bBpkirj/akcV3khAZK1rVrDHiDRAzVJDza3gvwZ2A==" saltValue="Meq4K9BW7mGn+AyRGICw7Q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C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Revisões!$F$2:$F$14</xm:f>
          </x14:formula1>
          <xm:sqref>D3:D100</xm:sqref>
        </x14:dataValidation>
        <x14:dataValidation type="list" allowBlank="1" showInputMessage="1" showErrorMessage="1" xr:uid="{00000000-0002-0000-0C00-000001000000}">
          <x14:formula1>
            <xm:f>Revisões!$F$17:$F$18</xm:f>
          </x14:formula1>
          <xm:sqref>E3:E100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9qwWca8IHH0oB6Jsc6nUi0d0ksfXNDvbmO+hdDb9bbuhZJqfr+2NJ+zCyflnoG1spnpFUFhe6vYiIXTFKefN1A==" saltValue="IifaSkp17aNipWVdIbe6oQ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D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Revisões!$F$17:$F$18</xm:f>
          </x14:formula1>
          <xm:sqref>E3:E100</xm:sqref>
        </x14:dataValidation>
        <x14:dataValidation type="list" allowBlank="1" showInputMessage="1" showErrorMessage="1" xr:uid="{00000000-0002-0000-0D00-000001000000}">
          <x14:formula1>
            <xm:f>Revisões!$F$2:$F$14</xm:f>
          </x14:formula1>
          <xm:sqref>D3:D100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DhOHoLlMk0LLyT+6ADoWrT9o3ZenjkqXp1lrRO7fbYfuIqk+Q1mlb0FFcBnAysUREY+sgR8Jll3ZiBsMt/WeaA==" saltValue="D7KlyfKEAIwzphVFF7CALQ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E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Revisões!$F$2:$F$14</xm:f>
          </x14:formula1>
          <xm:sqref>D3:D100</xm:sqref>
        </x14:dataValidation>
        <x14:dataValidation type="list" allowBlank="1" showInputMessage="1" showErrorMessage="1" xr:uid="{00000000-0002-0000-0E00-000001000000}">
          <x14:formula1>
            <xm:f>Revisões!$F$17:$F$18</xm:f>
          </x14:formula1>
          <xm:sqref>E3:E100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Q60LFFobcHIiiPsvaD7eIxsmIhGXVgYh1eqwWFuZEZ3KAyv9G0dB/T3yL6+h10Du6eOxXXADG3kENhoC/Tozzg==" saltValue="5I2FBLlsVif/wf1nHnI61g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0F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Revisões!$F$17:$F$18</xm:f>
          </x14:formula1>
          <xm:sqref>E3:E100</xm:sqref>
        </x14:dataValidation>
        <x14:dataValidation type="list" allowBlank="1" showInputMessage="1" showErrorMessage="1" xr:uid="{00000000-0002-0000-0F00-000001000000}">
          <x14:formula1>
            <xm:f>Revisões!$F$2:$F$14</xm:f>
          </x14:formula1>
          <xm:sqref>D3:D100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1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80.7109375" style="1" customWidth="1"/>
    <col min="2" max="2" width="30.7109375" style="1" customWidth="1"/>
    <col min="3" max="3" width="20.7109375" style="1" customWidth="1"/>
    <col min="4" max="4" width="30.7109375" style="1" customWidth="1"/>
    <col min="5" max="5" width="20.7109375" style="1" customWidth="1"/>
    <col min="6" max="8" width="9.140625" style="1"/>
    <col min="9" max="9" width="30.7109375" style="1" customWidth="1"/>
    <col min="10" max="11" width="18.7109375" style="1" customWidth="1"/>
    <col min="12" max="16" width="9.140625" style="1"/>
    <col min="17" max="17" width="10.7109375" style="1" bestFit="1" customWidth="1"/>
    <col min="18" max="19" width="12.5703125" style="1" bestFit="1" customWidth="1"/>
    <col min="20" max="20" width="15.28515625" style="1" bestFit="1" customWidth="1"/>
    <col min="21" max="21" width="13.7109375" style="1" bestFit="1" customWidth="1"/>
    <col min="22" max="22" width="10.5703125" style="1" bestFit="1" customWidth="1"/>
    <col min="23" max="23" width="13.7109375" style="1" bestFit="1" customWidth="1"/>
    <col min="24" max="24" width="10.5703125" style="1" bestFit="1" customWidth="1"/>
    <col min="25" max="25" width="13.7109375" style="1" bestFit="1" customWidth="1"/>
    <col min="26" max="26" width="15.28515625" style="1" bestFit="1" customWidth="1"/>
    <col min="27" max="27" width="13.7109375" style="1" bestFit="1" customWidth="1"/>
    <col min="28" max="28" width="24.28515625" style="1" bestFit="1" customWidth="1"/>
    <col min="29" max="29" width="13.7109375" style="1" bestFit="1" customWidth="1"/>
    <col min="30" max="30" width="21.85546875" style="1" bestFit="1" customWidth="1"/>
    <col min="31" max="31" width="13.7109375" style="1" bestFit="1" customWidth="1"/>
    <col min="32" max="32" width="15.28515625" style="1" bestFit="1" customWidth="1"/>
    <col min="33" max="33" width="13.7109375" style="1" bestFit="1" customWidth="1"/>
    <col min="34" max="34" width="10.7109375" style="1" bestFit="1" customWidth="1"/>
    <col min="35" max="16384" width="9.140625" style="1"/>
  </cols>
  <sheetData>
    <row r="1" spans="1:34" x14ac:dyDescent="0.25">
      <c r="A1" s="43" t="s">
        <v>53</v>
      </c>
      <c r="B1" s="43"/>
      <c r="C1" s="43"/>
      <c r="D1" s="43"/>
      <c r="E1" s="4" t="s">
        <v>54</v>
      </c>
      <c r="I1" s="10"/>
      <c r="J1" s="10"/>
    </row>
    <row r="2" spans="1:34" x14ac:dyDescent="0.25">
      <c r="A2" s="4" t="s">
        <v>10</v>
      </c>
      <c r="B2" s="4" t="s">
        <v>0</v>
      </c>
      <c r="C2" s="4" t="s">
        <v>7</v>
      </c>
      <c r="D2" s="4" t="s">
        <v>1</v>
      </c>
      <c r="E2" s="4" t="s">
        <v>17</v>
      </c>
      <c r="I2" s="4" t="s">
        <v>1</v>
      </c>
      <c r="J2" s="4" t="s">
        <v>0</v>
      </c>
      <c r="K2" s="4" t="s">
        <v>13</v>
      </c>
      <c r="S2"/>
      <c r="T2"/>
    </row>
    <row r="3" spans="1:34" x14ac:dyDescent="0.25">
      <c r="A3" s="23"/>
      <c r="B3" s="24"/>
      <c r="C3" s="25"/>
      <c r="D3" s="17"/>
      <c r="E3" s="17"/>
      <c r="I3" s="3" t="s">
        <v>3</v>
      </c>
      <c r="J3" s="5">
        <f>SUMIF(D3:D100,I3,B3:B100)</f>
        <v>0</v>
      </c>
      <c r="K3" s="11" t="str">
        <f>IF($J$16=0,"-",J3/$J$16)</f>
        <v>-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x14ac:dyDescent="0.25">
      <c r="A4" s="23"/>
      <c r="B4" s="24"/>
      <c r="C4" s="25"/>
      <c r="D4" s="17"/>
      <c r="E4" s="17"/>
      <c r="I4" s="3" t="s">
        <v>23</v>
      </c>
      <c r="J4" s="5">
        <f>SUMIF(D3:D100,I4,B3:B100)</f>
        <v>0</v>
      </c>
      <c r="K4" s="11" t="str">
        <f t="shared" ref="K4:K14" si="0">IF($J$16=0,"-",J4/$J$16)</f>
        <v>-</v>
      </c>
      <c r="P4" s="13"/>
      <c r="Q4" s="15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25">
      <c r="A5" s="23"/>
      <c r="B5" s="24"/>
      <c r="C5" s="25"/>
      <c r="D5" s="17"/>
      <c r="E5" s="17"/>
      <c r="I5" s="3" t="s">
        <v>20</v>
      </c>
      <c r="J5" s="5">
        <f>SUMIF(D3:D100,I5,B3:B100)</f>
        <v>0</v>
      </c>
      <c r="K5" s="11" t="str">
        <f t="shared" si="0"/>
        <v>-</v>
      </c>
      <c r="P5" s="13"/>
      <c r="Q5" s="1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x14ac:dyDescent="0.25">
      <c r="A6" s="23"/>
      <c r="B6" s="24"/>
      <c r="C6" s="25"/>
      <c r="D6" s="17"/>
      <c r="E6" s="17"/>
      <c r="I6" s="3" t="s">
        <v>56</v>
      </c>
      <c r="J6" s="5">
        <f>SUMIF(D3:D100,I6,B3:B100)</f>
        <v>0</v>
      </c>
      <c r="K6" s="11" t="str">
        <f t="shared" si="0"/>
        <v>-</v>
      </c>
      <c r="P6" s="13"/>
      <c r="Q6" s="20"/>
      <c r="S6"/>
      <c r="T6"/>
    </row>
    <row r="7" spans="1:34" x14ac:dyDescent="0.25">
      <c r="A7" s="23"/>
      <c r="B7" s="24"/>
      <c r="C7" s="25"/>
      <c r="D7" s="17"/>
      <c r="E7" s="17"/>
      <c r="I7" s="3" t="s">
        <v>2</v>
      </c>
      <c r="J7" s="5">
        <f>SUMIF(D3:D100,I7,B3:B100)</f>
        <v>0</v>
      </c>
      <c r="K7" s="11" t="str">
        <f t="shared" si="0"/>
        <v>-</v>
      </c>
      <c r="N7" s="22"/>
      <c r="O7" s="13"/>
      <c r="P7" s="13"/>
      <c r="Q7" s="20"/>
      <c r="S7"/>
      <c r="T7"/>
    </row>
    <row r="8" spans="1:34" x14ac:dyDescent="0.25">
      <c r="A8" s="23"/>
      <c r="B8" s="24"/>
      <c r="C8" s="25"/>
      <c r="D8" s="17"/>
      <c r="E8" s="17"/>
      <c r="I8" s="3" t="s">
        <v>4</v>
      </c>
      <c r="J8" s="5">
        <f>SUMIF(D3:D100,I8,B3:B100)</f>
        <v>0</v>
      </c>
      <c r="K8" s="11" t="str">
        <f t="shared" si="0"/>
        <v>-</v>
      </c>
      <c r="N8" s="22"/>
      <c r="Q8" s="20"/>
      <c r="S8"/>
      <c r="T8"/>
    </row>
    <row r="9" spans="1:34" x14ac:dyDescent="0.25">
      <c r="A9" s="23"/>
      <c r="B9" s="24"/>
      <c r="C9" s="25"/>
      <c r="D9" s="17"/>
      <c r="E9" s="17"/>
      <c r="I9" s="3" t="s">
        <v>22</v>
      </c>
      <c r="J9" s="5">
        <f>SUMIF(D3:D100,I9,B3:B100)</f>
        <v>0</v>
      </c>
      <c r="K9" s="11" t="str">
        <f t="shared" si="0"/>
        <v>-</v>
      </c>
      <c r="N9" s="22"/>
      <c r="S9"/>
      <c r="T9"/>
    </row>
    <row r="10" spans="1:34" x14ac:dyDescent="0.25">
      <c r="A10" s="23"/>
      <c r="B10" s="24"/>
      <c r="C10" s="25"/>
      <c r="D10" s="17"/>
      <c r="E10" s="17"/>
      <c r="I10" s="3" t="s">
        <v>21</v>
      </c>
      <c r="J10" s="5">
        <f>SUMIF(D3:D100,I10,B3:B100)</f>
        <v>0</v>
      </c>
      <c r="K10" s="11" t="str">
        <f t="shared" si="0"/>
        <v>-</v>
      </c>
      <c r="N10" s="22"/>
      <c r="Q10" s="20"/>
      <c r="S10"/>
      <c r="T10"/>
    </row>
    <row r="11" spans="1:34" x14ac:dyDescent="0.25">
      <c r="A11" s="23"/>
      <c r="B11" s="24"/>
      <c r="C11" s="25"/>
      <c r="D11" s="17"/>
      <c r="E11" s="17"/>
      <c r="I11" s="3" t="s">
        <v>55</v>
      </c>
      <c r="J11" s="5">
        <f>SUMIF(D3:D100,I11,B3:B100)</f>
        <v>0</v>
      </c>
      <c r="K11" s="11" t="str">
        <f t="shared" si="0"/>
        <v>-</v>
      </c>
      <c r="N11" s="22"/>
      <c r="S11"/>
      <c r="T11"/>
    </row>
    <row r="12" spans="1:34" x14ac:dyDescent="0.25">
      <c r="A12" s="23"/>
      <c r="B12" s="24"/>
      <c r="C12" s="25"/>
      <c r="D12" s="17"/>
      <c r="E12" s="17"/>
      <c r="I12" s="3" t="s">
        <v>11</v>
      </c>
      <c r="J12" s="5">
        <f>SUMIF(D3:D100,I12,B3:B100)</f>
        <v>0</v>
      </c>
      <c r="K12" s="11" t="str">
        <f t="shared" si="0"/>
        <v>-</v>
      </c>
      <c r="N12" s="22"/>
      <c r="S12"/>
      <c r="T12"/>
    </row>
    <row r="13" spans="1:34" x14ac:dyDescent="0.25">
      <c r="A13" s="23"/>
      <c r="B13" s="24"/>
      <c r="C13" s="25"/>
      <c r="D13" s="17"/>
      <c r="E13" s="17"/>
      <c r="I13" s="3" t="s">
        <v>5</v>
      </c>
      <c r="J13" s="5">
        <f>SUMIF(D3:D100,I13,B3:B100)</f>
        <v>0</v>
      </c>
      <c r="K13" s="11" t="str">
        <f t="shared" si="0"/>
        <v>-</v>
      </c>
      <c r="N13" s="22"/>
      <c r="S13"/>
      <c r="T13"/>
    </row>
    <row r="14" spans="1:34" x14ac:dyDescent="0.25">
      <c r="A14" s="23"/>
      <c r="B14" s="24"/>
      <c r="C14" s="25"/>
      <c r="D14" s="17"/>
      <c r="E14" s="17"/>
      <c r="I14" s="3" t="s">
        <v>24</v>
      </c>
      <c r="J14" s="5">
        <f>SUMIF(D3:D100,I14,B3:B100)</f>
        <v>0</v>
      </c>
      <c r="K14" s="11" t="str">
        <f t="shared" si="0"/>
        <v>-</v>
      </c>
      <c r="S14"/>
      <c r="T14"/>
    </row>
    <row r="15" spans="1:34" x14ac:dyDescent="0.25">
      <c r="A15" s="23"/>
      <c r="B15" s="24"/>
      <c r="C15" s="25"/>
      <c r="D15" s="17"/>
      <c r="E15" s="17"/>
      <c r="I15"/>
      <c r="J15"/>
      <c r="K15"/>
      <c r="P15" s="13"/>
      <c r="Q15" s="20"/>
      <c r="S15"/>
      <c r="T15"/>
    </row>
    <row r="16" spans="1:34" x14ac:dyDescent="0.25">
      <c r="A16" s="23"/>
      <c r="B16" s="24"/>
      <c r="C16" s="25"/>
      <c r="D16" s="17"/>
      <c r="E16" s="17"/>
      <c r="I16" s="4" t="s">
        <v>12</v>
      </c>
      <c r="J16" s="5">
        <f>SUM(J3:J14)</f>
        <v>0</v>
      </c>
      <c r="K16" s="12">
        <f>SUM(K3:K14)</f>
        <v>0</v>
      </c>
      <c r="Q16" s="20"/>
      <c r="S16"/>
      <c r="T16"/>
    </row>
    <row r="17" spans="1:20" x14ac:dyDescent="0.25">
      <c r="A17" s="23"/>
      <c r="B17" s="24"/>
      <c r="C17" s="25"/>
      <c r="D17" s="17"/>
      <c r="E17" s="17"/>
      <c r="I17" s="10"/>
      <c r="J17" s="10"/>
      <c r="K17"/>
      <c r="S17"/>
      <c r="T17"/>
    </row>
    <row r="18" spans="1:20" x14ac:dyDescent="0.25">
      <c r="A18" s="23"/>
      <c r="B18" s="24"/>
      <c r="C18" s="25"/>
      <c r="D18" s="17"/>
      <c r="E18" s="17"/>
      <c r="I18" s="10"/>
      <c r="J18" s="10"/>
      <c r="K18"/>
      <c r="S18"/>
      <c r="T18"/>
    </row>
    <row r="19" spans="1:20" x14ac:dyDescent="0.25">
      <c r="A19" s="23"/>
      <c r="B19" s="24"/>
      <c r="C19" s="25"/>
      <c r="D19" s="17"/>
      <c r="E19" s="17"/>
      <c r="I19" s="10"/>
      <c r="J19" s="10"/>
      <c r="K19"/>
      <c r="S19"/>
      <c r="T19"/>
    </row>
    <row r="20" spans="1:20" x14ac:dyDescent="0.25">
      <c r="A20" s="23"/>
      <c r="B20" s="24"/>
      <c r="C20" s="25"/>
      <c r="D20" s="17"/>
      <c r="E20" s="17"/>
      <c r="I20" s="10"/>
      <c r="J20" s="10"/>
      <c r="K20"/>
    </row>
    <row r="21" spans="1:20" x14ac:dyDescent="0.25">
      <c r="A21" s="23"/>
      <c r="B21" s="24"/>
      <c r="C21" s="25"/>
      <c r="D21" s="17"/>
      <c r="E21" s="17"/>
      <c r="K21"/>
    </row>
    <row r="22" spans="1:20" x14ac:dyDescent="0.25">
      <c r="A22" s="23"/>
      <c r="B22" s="24"/>
      <c r="C22" s="25"/>
      <c r="D22" s="17"/>
      <c r="E22" s="17"/>
    </row>
    <row r="23" spans="1:20" x14ac:dyDescent="0.25">
      <c r="A23" s="23"/>
      <c r="B23" s="24"/>
      <c r="C23" s="25"/>
      <c r="D23" s="17"/>
      <c r="E23" s="17"/>
    </row>
    <row r="24" spans="1:20" x14ac:dyDescent="0.25">
      <c r="A24" s="23"/>
      <c r="B24" s="24"/>
      <c r="C24" s="25"/>
      <c r="D24" s="17"/>
      <c r="E24" s="17"/>
    </row>
    <row r="25" spans="1:20" x14ac:dyDescent="0.25">
      <c r="A25" s="23"/>
      <c r="B25" s="24"/>
      <c r="C25" s="25"/>
      <c r="D25" s="17"/>
      <c r="E25" s="17"/>
    </row>
    <row r="26" spans="1:20" x14ac:dyDescent="0.25">
      <c r="A26" s="23"/>
      <c r="B26" s="24"/>
      <c r="C26" s="25"/>
      <c r="D26" s="17"/>
      <c r="E26" s="17"/>
    </row>
    <row r="27" spans="1:20" x14ac:dyDescent="0.25">
      <c r="A27" s="23"/>
      <c r="B27" s="24"/>
      <c r="C27" s="25"/>
      <c r="D27" s="17"/>
      <c r="E27" s="17"/>
    </row>
    <row r="28" spans="1:20" x14ac:dyDescent="0.25">
      <c r="A28" s="23"/>
      <c r="B28" s="24"/>
      <c r="C28" s="25"/>
      <c r="D28" s="17"/>
      <c r="E28" s="17"/>
    </row>
    <row r="29" spans="1:20" x14ac:dyDescent="0.25">
      <c r="A29" s="23"/>
      <c r="B29" s="24"/>
      <c r="C29" s="25"/>
      <c r="D29" s="17"/>
      <c r="E29" s="17"/>
    </row>
    <row r="30" spans="1:20" x14ac:dyDescent="0.25">
      <c r="A30" s="23"/>
      <c r="B30" s="24"/>
      <c r="C30" s="25"/>
      <c r="D30" s="17"/>
      <c r="E30" s="17"/>
    </row>
    <row r="31" spans="1:20" x14ac:dyDescent="0.25">
      <c r="A31" s="23"/>
      <c r="B31" s="24"/>
      <c r="C31" s="25"/>
      <c r="D31" s="17"/>
      <c r="E31" s="17"/>
    </row>
    <row r="32" spans="1:20" x14ac:dyDescent="0.25">
      <c r="A32" s="23"/>
      <c r="B32" s="24"/>
      <c r="C32" s="25"/>
      <c r="D32" s="17"/>
      <c r="E32" s="17"/>
    </row>
    <row r="33" spans="1:5" x14ac:dyDescent="0.25">
      <c r="A33" s="23"/>
      <c r="B33" s="24"/>
      <c r="C33" s="25"/>
      <c r="D33" s="17"/>
      <c r="E33" s="17"/>
    </row>
    <row r="34" spans="1:5" x14ac:dyDescent="0.25">
      <c r="A34" s="23"/>
      <c r="B34" s="24"/>
      <c r="C34" s="25"/>
      <c r="D34" s="17"/>
      <c r="E34" s="17"/>
    </row>
    <row r="35" spans="1:5" x14ac:dyDescent="0.25">
      <c r="A35" s="23"/>
      <c r="B35" s="24"/>
      <c r="C35" s="25"/>
      <c r="D35" s="17"/>
      <c r="E35" s="17"/>
    </row>
    <row r="36" spans="1:5" x14ac:dyDescent="0.25">
      <c r="A36" s="23"/>
      <c r="B36" s="24"/>
      <c r="C36" s="25"/>
      <c r="D36" s="17"/>
      <c r="E36" s="17"/>
    </row>
    <row r="37" spans="1:5" x14ac:dyDescent="0.25">
      <c r="A37" s="23"/>
      <c r="B37" s="24"/>
      <c r="C37" s="25"/>
      <c r="D37" s="17"/>
      <c r="E37" s="17"/>
    </row>
    <row r="38" spans="1:5" x14ac:dyDescent="0.25">
      <c r="A38" s="23"/>
      <c r="B38" s="24"/>
      <c r="C38" s="25"/>
      <c r="D38" s="17"/>
      <c r="E38" s="17"/>
    </row>
    <row r="39" spans="1:5" x14ac:dyDescent="0.25">
      <c r="A39" s="23"/>
      <c r="B39" s="24"/>
      <c r="C39" s="25"/>
      <c r="D39" s="17"/>
      <c r="E39" s="17"/>
    </row>
    <row r="40" spans="1:5" x14ac:dyDescent="0.25">
      <c r="A40" s="23"/>
      <c r="B40" s="24"/>
      <c r="C40" s="25"/>
      <c r="D40" s="17"/>
      <c r="E40" s="17"/>
    </row>
    <row r="41" spans="1:5" x14ac:dyDescent="0.25">
      <c r="A41" s="23"/>
      <c r="B41" s="24"/>
      <c r="C41" s="25"/>
      <c r="D41" s="17"/>
      <c r="E41" s="17"/>
    </row>
    <row r="42" spans="1:5" x14ac:dyDescent="0.25">
      <c r="A42" s="23"/>
      <c r="B42" s="24"/>
      <c r="C42" s="25"/>
      <c r="D42" s="17"/>
      <c r="E42" s="17"/>
    </row>
    <row r="43" spans="1:5" x14ac:dyDescent="0.25">
      <c r="A43" s="23"/>
      <c r="B43" s="24"/>
      <c r="C43" s="25"/>
      <c r="D43" s="17"/>
      <c r="E43" s="17"/>
    </row>
    <row r="44" spans="1:5" x14ac:dyDescent="0.25">
      <c r="A44" s="23"/>
      <c r="B44" s="24"/>
      <c r="C44" s="25"/>
      <c r="D44" s="17"/>
      <c r="E44" s="17"/>
    </row>
    <row r="45" spans="1:5" x14ac:dyDescent="0.25">
      <c r="A45" s="23"/>
      <c r="B45" s="24"/>
      <c r="C45" s="25"/>
      <c r="D45" s="17"/>
      <c r="E45" s="17"/>
    </row>
    <row r="46" spans="1:5" x14ac:dyDescent="0.25">
      <c r="A46" s="23"/>
      <c r="B46" s="24"/>
      <c r="C46" s="25"/>
      <c r="D46" s="17"/>
      <c r="E46" s="17"/>
    </row>
    <row r="47" spans="1:5" x14ac:dyDescent="0.25">
      <c r="A47" s="23"/>
      <c r="B47" s="24"/>
      <c r="C47" s="25"/>
      <c r="D47" s="17"/>
      <c r="E47" s="17"/>
    </row>
    <row r="48" spans="1:5" x14ac:dyDescent="0.25">
      <c r="A48" s="23"/>
      <c r="B48" s="24"/>
      <c r="C48" s="25"/>
      <c r="D48" s="17"/>
      <c r="E48" s="17"/>
    </row>
    <row r="49" spans="1:10" x14ac:dyDescent="0.25">
      <c r="A49" s="23"/>
      <c r="B49" s="24"/>
      <c r="C49" s="25"/>
      <c r="D49" s="17"/>
      <c r="E49" s="17"/>
    </row>
    <row r="50" spans="1:10" x14ac:dyDescent="0.25">
      <c r="A50" s="23"/>
      <c r="B50" s="24"/>
      <c r="C50" s="25"/>
      <c r="D50" s="17"/>
      <c r="E50" s="17"/>
    </row>
    <row r="51" spans="1:10" x14ac:dyDescent="0.25">
      <c r="A51" s="23"/>
      <c r="B51" s="24"/>
      <c r="C51" s="25"/>
      <c r="D51" s="17"/>
      <c r="E51" s="17"/>
    </row>
    <row r="52" spans="1:10" x14ac:dyDescent="0.25">
      <c r="A52" s="23"/>
      <c r="B52" s="24"/>
      <c r="C52" s="25"/>
      <c r="D52" s="17"/>
      <c r="E52" s="17"/>
    </row>
    <row r="53" spans="1:10" x14ac:dyDescent="0.25">
      <c r="A53" s="23"/>
      <c r="B53" s="24"/>
      <c r="C53" s="25"/>
      <c r="D53" s="17"/>
      <c r="E53" s="17"/>
    </row>
    <row r="54" spans="1:10" x14ac:dyDescent="0.25">
      <c r="A54" s="23"/>
      <c r="B54" s="24"/>
      <c r="C54" s="25"/>
      <c r="D54" s="17"/>
      <c r="E54" s="17"/>
    </row>
    <row r="55" spans="1:10" x14ac:dyDescent="0.25">
      <c r="A55" s="23"/>
      <c r="B55" s="24"/>
      <c r="C55" s="25"/>
      <c r="D55" s="17"/>
      <c r="E55" s="17"/>
    </row>
    <row r="56" spans="1:10" x14ac:dyDescent="0.25">
      <c r="A56" s="23"/>
      <c r="B56" s="24"/>
      <c r="C56" s="25"/>
      <c r="D56" s="17"/>
      <c r="E56" s="17"/>
    </row>
    <row r="57" spans="1:10" x14ac:dyDescent="0.25">
      <c r="A57" s="23"/>
      <c r="B57" s="24"/>
      <c r="C57" s="25"/>
      <c r="D57" s="17"/>
      <c r="E57" s="17"/>
    </row>
    <row r="58" spans="1:10" x14ac:dyDescent="0.25">
      <c r="A58" s="23"/>
      <c r="B58" s="24"/>
      <c r="C58" s="25"/>
      <c r="D58" s="17"/>
      <c r="E58" s="17"/>
    </row>
    <row r="59" spans="1:10" x14ac:dyDescent="0.25">
      <c r="A59" s="23"/>
      <c r="B59" s="24"/>
      <c r="C59" s="25"/>
      <c r="D59" s="17"/>
      <c r="E59" s="17"/>
    </row>
    <row r="60" spans="1:10" x14ac:dyDescent="0.25">
      <c r="A60" s="23"/>
      <c r="B60" s="24"/>
      <c r="C60" s="25"/>
      <c r="D60" s="17"/>
      <c r="E60" s="17"/>
      <c r="I60" s="21"/>
      <c r="J60" s="20"/>
    </row>
    <row r="61" spans="1:10" x14ac:dyDescent="0.25">
      <c r="A61" s="23"/>
      <c r="B61" s="24"/>
      <c r="C61" s="25"/>
      <c r="D61" s="17"/>
      <c r="E61" s="17"/>
      <c r="I61" s="21"/>
      <c r="J61" s="20"/>
    </row>
    <row r="62" spans="1:10" x14ac:dyDescent="0.25">
      <c r="A62" s="23"/>
      <c r="B62" s="24"/>
      <c r="C62" s="25"/>
      <c r="D62" s="17"/>
      <c r="E62" s="17"/>
      <c r="I62" s="21"/>
      <c r="J62" s="20"/>
    </row>
    <row r="63" spans="1:10" x14ac:dyDescent="0.25">
      <c r="A63" s="23"/>
      <c r="B63" s="24"/>
      <c r="C63" s="25"/>
      <c r="D63" s="17"/>
      <c r="E63" s="17"/>
      <c r="I63" s="21"/>
      <c r="J63" s="20"/>
    </row>
    <row r="64" spans="1:10" x14ac:dyDescent="0.25">
      <c r="A64" s="23"/>
      <c r="B64" s="24"/>
      <c r="C64" s="25"/>
      <c r="D64" s="17"/>
      <c r="E64" s="17"/>
      <c r="I64" s="21"/>
      <c r="J64" s="20"/>
    </row>
    <row r="65" spans="1:10" x14ac:dyDescent="0.25">
      <c r="A65" s="23"/>
      <c r="B65" s="24"/>
      <c r="C65" s="25"/>
      <c r="D65" s="17"/>
      <c r="E65" s="17"/>
      <c r="I65" s="21"/>
      <c r="J65" s="20"/>
    </row>
    <row r="66" spans="1:10" x14ac:dyDescent="0.25">
      <c r="A66" s="23"/>
      <c r="B66" s="24"/>
      <c r="C66" s="25"/>
      <c r="D66" s="17"/>
      <c r="E66" s="17"/>
    </row>
    <row r="67" spans="1:10" x14ac:dyDescent="0.25">
      <c r="A67" s="23"/>
      <c r="B67" s="24"/>
      <c r="C67" s="25"/>
      <c r="D67" s="17"/>
      <c r="E67" s="17"/>
    </row>
    <row r="68" spans="1:10" x14ac:dyDescent="0.25">
      <c r="A68" s="23"/>
      <c r="B68" s="24"/>
      <c r="C68" s="25"/>
      <c r="D68" s="17"/>
      <c r="E68" s="17"/>
    </row>
    <row r="69" spans="1:10" x14ac:dyDescent="0.25">
      <c r="A69" s="23"/>
      <c r="B69" s="24"/>
      <c r="C69" s="25"/>
      <c r="D69" s="17"/>
      <c r="E69" s="17"/>
    </row>
    <row r="70" spans="1:10" x14ac:dyDescent="0.25">
      <c r="A70" s="23"/>
      <c r="B70" s="24"/>
      <c r="C70" s="25"/>
      <c r="D70" s="17"/>
      <c r="E70" s="17"/>
    </row>
    <row r="71" spans="1:10" x14ac:dyDescent="0.25">
      <c r="A71" s="23"/>
      <c r="B71" s="24"/>
      <c r="C71" s="25"/>
      <c r="D71" s="17"/>
      <c r="E71" s="17"/>
    </row>
    <row r="72" spans="1:10" x14ac:dyDescent="0.25">
      <c r="A72" s="23"/>
      <c r="B72" s="24"/>
      <c r="C72" s="25"/>
      <c r="D72" s="17"/>
      <c r="E72" s="17"/>
    </row>
    <row r="73" spans="1:10" x14ac:dyDescent="0.25">
      <c r="A73" s="23"/>
      <c r="B73" s="24"/>
      <c r="C73" s="25"/>
      <c r="D73" s="17"/>
      <c r="E73" s="17"/>
    </row>
    <row r="74" spans="1:10" x14ac:dyDescent="0.25">
      <c r="A74" s="23"/>
      <c r="B74" s="24"/>
      <c r="C74" s="25"/>
      <c r="D74" s="17"/>
      <c r="E74" s="17"/>
    </row>
    <row r="75" spans="1:10" x14ac:dyDescent="0.25">
      <c r="A75" s="23"/>
      <c r="B75" s="24"/>
      <c r="C75" s="25"/>
      <c r="D75" s="17"/>
      <c r="E75" s="17"/>
    </row>
    <row r="76" spans="1:10" x14ac:dyDescent="0.25">
      <c r="A76" s="23"/>
      <c r="B76" s="24"/>
      <c r="C76" s="25"/>
      <c r="D76" s="17"/>
      <c r="E76" s="17"/>
    </row>
    <row r="77" spans="1:10" x14ac:dyDescent="0.25">
      <c r="A77" s="23"/>
      <c r="B77" s="24"/>
      <c r="C77" s="25"/>
      <c r="D77" s="17"/>
      <c r="E77" s="17"/>
    </row>
    <row r="78" spans="1:10" x14ac:dyDescent="0.25">
      <c r="A78" s="23"/>
      <c r="B78" s="24"/>
      <c r="C78" s="25"/>
      <c r="D78" s="17"/>
      <c r="E78" s="17"/>
    </row>
    <row r="79" spans="1:10" x14ac:dyDescent="0.25">
      <c r="A79" s="23"/>
      <c r="B79" s="24"/>
      <c r="C79" s="25"/>
      <c r="D79" s="17"/>
      <c r="E79" s="17"/>
    </row>
    <row r="80" spans="1:10" x14ac:dyDescent="0.25">
      <c r="A80" s="23"/>
      <c r="B80" s="24"/>
      <c r="C80" s="25"/>
      <c r="D80" s="17"/>
      <c r="E80" s="17"/>
    </row>
    <row r="81" spans="1:5" x14ac:dyDescent="0.25">
      <c r="A81" s="23"/>
      <c r="B81" s="24"/>
      <c r="C81" s="25"/>
      <c r="D81" s="17"/>
      <c r="E81" s="17"/>
    </row>
    <row r="82" spans="1:5" x14ac:dyDescent="0.25">
      <c r="A82" s="23"/>
      <c r="B82" s="24"/>
      <c r="C82" s="25"/>
      <c r="D82" s="17"/>
      <c r="E82" s="17"/>
    </row>
    <row r="83" spans="1:5" x14ac:dyDescent="0.25">
      <c r="A83" s="23"/>
      <c r="B83" s="24"/>
      <c r="C83" s="25"/>
      <c r="D83" s="17"/>
      <c r="E83" s="17"/>
    </row>
    <row r="84" spans="1:5" x14ac:dyDescent="0.25">
      <c r="A84" s="23"/>
      <c r="B84" s="24"/>
      <c r="C84" s="25"/>
      <c r="D84" s="17"/>
      <c r="E84" s="17"/>
    </row>
    <row r="85" spans="1:5" x14ac:dyDescent="0.25">
      <c r="A85" s="23"/>
      <c r="B85" s="24"/>
      <c r="C85" s="25"/>
      <c r="D85" s="17"/>
      <c r="E85" s="17"/>
    </row>
    <row r="86" spans="1:5" x14ac:dyDescent="0.25">
      <c r="A86" s="23"/>
      <c r="B86" s="24"/>
      <c r="C86" s="25"/>
      <c r="D86" s="17"/>
      <c r="E86" s="17"/>
    </row>
    <row r="87" spans="1:5" x14ac:dyDescent="0.25">
      <c r="A87" s="23"/>
      <c r="B87" s="24"/>
      <c r="C87" s="25"/>
      <c r="D87" s="17"/>
      <c r="E87" s="17"/>
    </row>
    <row r="88" spans="1:5" x14ac:dyDescent="0.25">
      <c r="A88" s="23"/>
      <c r="B88" s="24"/>
      <c r="C88" s="25"/>
      <c r="D88" s="17"/>
      <c r="E88" s="17"/>
    </row>
    <row r="89" spans="1:5" x14ac:dyDescent="0.25">
      <c r="A89" s="23"/>
      <c r="B89" s="24"/>
      <c r="C89" s="25"/>
      <c r="D89" s="17"/>
      <c r="E89" s="17"/>
    </row>
    <row r="90" spans="1:5" x14ac:dyDescent="0.25">
      <c r="A90" s="23"/>
      <c r="B90" s="24"/>
      <c r="C90" s="25"/>
      <c r="D90" s="17"/>
      <c r="E90" s="17"/>
    </row>
    <row r="91" spans="1:5" x14ac:dyDescent="0.25">
      <c r="A91" s="23"/>
      <c r="B91" s="24"/>
      <c r="C91" s="25"/>
      <c r="D91" s="17"/>
      <c r="E91" s="17"/>
    </row>
    <row r="92" spans="1:5" x14ac:dyDescent="0.25">
      <c r="A92" s="23"/>
      <c r="B92" s="24"/>
      <c r="C92" s="25"/>
      <c r="D92" s="17"/>
      <c r="E92" s="17"/>
    </row>
    <row r="93" spans="1:5" x14ac:dyDescent="0.25">
      <c r="A93" s="23"/>
      <c r="B93" s="24"/>
      <c r="C93" s="25"/>
      <c r="D93" s="17"/>
      <c r="E93" s="17"/>
    </row>
    <row r="94" spans="1:5" x14ac:dyDescent="0.25">
      <c r="A94" s="23"/>
      <c r="B94" s="24"/>
      <c r="C94" s="25"/>
      <c r="D94" s="17"/>
      <c r="E94" s="17"/>
    </row>
    <row r="95" spans="1:5" x14ac:dyDescent="0.25">
      <c r="A95" s="23"/>
      <c r="B95" s="24"/>
      <c r="C95" s="25"/>
      <c r="D95" s="17"/>
      <c r="E95" s="17"/>
    </row>
    <row r="96" spans="1:5" x14ac:dyDescent="0.25">
      <c r="A96" s="23"/>
      <c r="B96" s="24"/>
      <c r="C96" s="25"/>
      <c r="D96" s="17"/>
      <c r="E96" s="17"/>
    </row>
    <row r="97" spans="1:5" x14ac:dyDescent="0.25">
      <c r="A97" s="23"/>
      <c r="B97" s="24"/>
      <c r="C97" s="25"/>
      <c r="D97" s="17"/>
      <c r="E97" s="17"/>
    </row>
    <row r="98" spans="1:5" x14ac:dyDescent="0.25">
      <c r="A98" s="23"/>
      <c r="B98" s="24"/>
      <c r="C98" s="25"/>
      <c r="D98" s="17"/>
      <c r="E98" s="17"/>
    </row>
    <row r="99" spans="1:5" x14ac:dyDescent="0.25">
      <c r="A99" s="23"/>
      <c r="B99" s="24"/>
      <c r="C99" s="25"/>
      <c r="D99" s="17"/>
      <c r="E99" s="17"/>
    </row>
    <row r="100" spans="1:5" x14ac:dyDescent="0.25">
      <c r="A100" s="23"/>
      <c r="B100" s="24"/>
      <c r="C100" s="25"/>
      <c r="D100" s="17"/>
      <c r="E100" s="17"/>
    </row>
    <row r="101" spans="1:5" x14ac:dyDescent="0.25">
      <c r="A101" s="2"/>
    </row>
    <row r="102" spans="1:5" x14ac:dyDescent="0.25">
      <c r="A102" s="2"/>
      <c r="B102" s="8">
        <f>SUBTOTAL(9,B3:B100)</f>
        <v>0</v>
      </c>
    </row>
    <row r="103" spans="1:5" x14ac:dyDescent="0.25">
      <c r="A103" s="2"/>
    </row>
    <row r="104" spans="1:5" x14ac:dyDescent="0.25">
      <c r="A104" s="2"/>
    </row>
  </sheetData>
  <sheetProtection algorithmName="SHA-512" hashValue="N5/3OyizxZWDHh44am7ZuS0VIQL25iQDbT9UTLNhw9GMzCS/Ce4TqiNlvBTsBAQCMmF64X5DWysgx9hWOxcEyg==" saltValue="gManwcTreecn8/i3MVAVuw==" spinCount="100000" sheet="1" formatCells="0" formatColumns="0" formatRows="0" insertColumns="0" insertRows="0" insertHyperlinks="0" deleteColumns="0" deleteRows="0" selectLockedCells="1" sort="0" autoFilter="0" pivotTables="0"/>
  <autoFilter ref="A2:E2" xr:uid="{00000000-0009-0000-0000-000010000000}"/>
  <dataConsolidate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0000000}">
          <x14:formula1>
            <xm:f>Revisões!$F$2:$F$14</xm:f>
          </x14:formula1>
          <xm:sqref>D3:D100</xm:sqref>
        </x14:dataValidation>
        <x14:dataValidation type="list" allowBlank="1" showInputMessage="1" showErrorMessage="1" xr:uid="{00000000-0002-0000-1000-000001000000}">
          <x14:formula1>
            <xm:f>Revisões!$F$17:$F$18</xm:f>
          </x14:formula1>
          <xm:sqref>E3:E100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2"/>
  <dimension ref="A1:F23"/>
  <sheetViews>
    <sheetView showGridLines="0" workbookViewId="0">
      <selection activeCell="A18" sqref="A18"/>
    </sheetView>
  </sheetViews>
  <sheetFormatPr defaultRowHeight="15" x14ac:dyDescent="0.25"/>
  <cols>
    <col min="1" max="2" width="12.7109375" style="1" customWidth="1"/>
    <col min="3" max="3" width="80.7109375" style="1" customWidth="1"/>
    <col min="6" max="6" width="29.7109375" bestFit="1" customWidth="1"/>
  </cols>
  <sheetData>
    <row r="1" spans="1:6" x14ac:dyDescent="0.25">
      <c r="A1" s="4" t="s">
        <v>6</v>
      </c>
      <c r="B1" s="4" t="s">
        <v>7</v>
      </c>
      <c r="C1" s="4" t="s">
        <v>8</v>
      </c>
      <c r="F1" s="4" t="s">
        <v>1</v>
      </c>
    </row>
    <row r="2" spans="1:6" x14ac:dyDescent="0.25">
      <c r="A2" s="3" t="s">
        <v>9</v>
      </c>
      <c r="B2" s="9">
        <v>46023</v>
      </c>
      <c r="C2" s="3" t="s">
        <v>58</v>
      </c>
      <c r="F2" s="3" t="s">
        <v>3</v>
      </c>
    </row>
    <row r="3" spans="1:6" x14ac:dyDescent="0.25">
      <c r="A3" s="3"/>
      <c r="B3" s="9"/>
      <c r="C3" s="3"/>
      <c r="F3" s="3" t="s">
        <v>23</v>
      </c>
    </row>
    <row r="4" spans="1:6" x14ac:dyDescent="0.25">
      <c r="A4" s="3"/>
      <c r="B4" s="9"/>
      <c r="C4" s="3"/>
      <c r="F4" s="3" t="s">
        <v>20</v>
      </c>
    </row>
    <row r="5" spans="1:6" x14ac:dyDescent="0.25">
      <c r="A5" s="3"/>
      <c r="B5" s="9"/>
      <c r="C5" s="14"/>
      <c r="F5" s="3" t="s">
        <v>56</v>
      </c>
    </row>
    <row r="6" spans="1:6" x14ac:dyDescent="0.25">
      <c r="A6" s="3"/>
      <c r="B6" s="9"/>
      <c r="C6" s="3"/>
      <c r="F6" s="3" t="s">
        <v>2</v>
      </c>
    </row>
    <row r="7" spans="1:6" x14ac:dyDescent="0.25">
      <c r="A7" s="3"/>
      <c r="B7" s="9"/>
      <c r="C7" s="3"/>
      <c r="F7" s="3" t="s">
        <v>4</v>
      </c>
    </row>
    <row r="8" spans="1:6" x14ac:dyDescent="0.25">
      <c r="A8" s="3"/>
      <c r="B8" s="9"/>
      <c r="C8" s="3"/>
      <c r="F8" s="3" t="s">
        <v>22</v>
      </c>
    </row>
    <row r="9" spans="1:6" x14ac:dyDescent="0.25">
      <c r="A9" s="3"/>
      <c r="B9" s="9"/>
      <c r="C9" s="3"/>
      <c r="F9" s="3" t="s">
        <v>21</v>
      </c>
    </row>
    <row r="10" spans="1:6" x14ac:dyDescent="0.25">
      <c r="A10" s="3"/>
      <c r="B10" s="9"/>
      <c r="C10" s="3"/>
      <c r="F10" s="3" t="s">
        <v>55</v>
      </c>
    </row>
    <row r="11" spans="1:6" x14ac:dyDescent="0.25">
      <c r="A11" s="3"/>
      <c r="B11" s="9"/>
      <c r="C11" s="3"/>
      <c r="F11" s="3" t="s">
        <v>11</v>
      </c>
    </row>
    <row r="12" spans="1:6" x14ac:dyDescent="0.25">
      <c r="A12" s="3"/>
      <c r="B12" s="9"/>
      <c r="C12" s="3"/>
      <c r="F12" s="3" t="s">
        <v>5</v>
      </c>
    </row>
    <row r="13" spans="1:6" x14ac:dyDescent="0.25">
      <c r="F13" s="3" t="s">
        <v>24</v>
      </c>
    </row>
    <row r="14" spans="1:6" x14ac:dyDescent="0.25">
      <c r="F14" s="7"/>
    </row>
    <row r="16" spans="1:6" x14ac:dyDescent="0.25">
      <c r="F16" s="6" t="s">
        <v>17</v>
      </c>
    </row>
    <row r="17" spans="1:6" x14ac:dyDescent="0.25">
      <c r="F17" s="7" t="s">
        <v>18</v>
      </c>
    </row>
    <row r="18" spans="1:6" x14ac:dyDescent="0.25">
      <c r="A18" s="19"/>
      <c r="B18" s="19"/>
      <c r="C18" s="19"/>
      <c r="F18" s="7" t="s">
        <v>19</v>
      </c>
    </row>
    <row r="19" spans="1:6" x14ac:dyDescent="0.25">
      <c r="A19" s="19"/>
      <c r="B19" s="19"/>
      <c r="C19" s="19"/>
    </row>
    <row r="20" spans="1:6" x14ac:dyDescent="0.25">
      <c r="A20" s="19"/>
      <c r="B20" s="19"/>
      <c r="C20" s="19"/>
    </row>
    <row r="21" spans="1:6" x14ac:dyDescent="0.25">
      <c r="A21" s="19"/>
      <c r="B21" s="19"/>
      <c r="C21" s="19"/>
    </row>
    <row r="22" spans="1:6" x14ac:dyDescent="0.25">
      <c r="A22" s="19"/>
      <c r="B22" s="19"/>
      <c r="C22" s="19"/>
    </row>
    <row r="23" spans="1:6" x14ac:dyDescent="0.25">
      <c r="A23" s="19"/>
      <c r="B23" s="19"/>
      <c r="C23" s="19"/>
    </row>
  </sheetData>
  <sheetProtection algorithmName="SHA-512" hashValue="yNjyLNoHWsORwheFDkT4t5z0NpvqTcIvVbvbZBFvfUBtZLp6m5/2uZyXA/4uYq53oiARny8LHPptujhxFwp1OQ==" saltValue="g72Sg1pDgO3z3RNuSSHGdg==" spinCount="100000" sheet="1" objects="1" scenarios="1" formatCells="0" formatColumns="0" formatRows="0" insertColumns="0" insertRows="0" insertHyperlinks="0" deleteColumns="0" deleteRows="0" selectLockedCells="1" sort="0" autoFilter="0" pivotTables="0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Guia para usar</vt:lpstr>
      <vt:lpstr>Fluxo de Caixa</vt:lpstr>
      <vt:lpstr>Despesas</vt:lpstr>
      <vt:lpstr>Receitas</vt:lpstr>
      <vt:lpstr>Jan'26</vt:lpstr>
      <vt:lpstr>Fev'26</vt:lpstr>
      <vt:lpstr>Mar'26</vt:lpstr>
      <vt:lpstr>Abr'26</vt:lpstr>
      <vt:lpstr>Mai'26</vt:lpstr>
      <vt:lpstr>Jun'26</vt:lpstr>
      <vt:lpstr>Jul'26</vt:lpstr>
      <vt:lpstr>Ago'26</vt:lpstr>
      <vt:lpstr>Set'26</vt:lpstr>
      <vt:lpstr>Out'26</vt:lpstr>
      <vt:lpstr>Nov'26</vt:lpstr>
      <vt:lpstr>Dez'26</vt:lpstr>
      <vt:lpstr>Revisões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Novello</dc:creator>
  <cp:lastModifiedBy>Celso Camilo Tozzi</cp:lastModifiedBy>
  <cp:lastPrinted>2023-12-07T23:25:43Z</cp:lastPrinted>
  <dcterms:created xsi:type="dcterms:W3CDTF">2019-01-27T14:55:29Z</dcterms:created>
  <dcterms:modified xsi:type="dcterms:W3CDTF">2026-03-06T11:21:58Z</dcterms:modified>
</cp:coreProperties>
</file>